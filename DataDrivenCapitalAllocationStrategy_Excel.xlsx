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Projects\"/>
    </mc:Choice>
  </mc:AlternateContent>
  <xr:revisionPtr revIDLastSave="0" documentId="13_ncr:1_{E4FE2979-AB3E-4736-81DD-9A80171469BC}" xr6:coauthVersionLast="47" xr6:coauthVersionMax="47" xr10:uidLastSave="{00000000-0000-0000-0000-000000000000}"/>
  <bookViews>
    <workbookView xWindow="-75" yWindow="-18120" windowWidth="29040" windowHeight="17520" activeTab="2" xr2:uid="{247B7973-8DE5-4306-AE51-78B667E1E9C9}"/>
  </bookViews>
  <sheets>
    <sheet name="Phase 1" sheetId="1" r:id="rId1"/>
    <sheet name="Phase 2" sheetId="2" r:id="rId2"/>
    <sheet name="Phase 3" sheetId="3" r:id="rId3"/>
  </sheets>
  <definedNames>
    <definedName name="solver_adj" localSheetId="1" hidden="1">'Phase 2'!$L$20:$L$24,'Phase 2'!$L$27:$L$30,'Phase 2'!$L$33:$L$35</definedName>
    <definedName name="solver_adj" localSheetId="2" hidden="1">'Phase 3'!$L$20:$L$24,'Phase 3'!$L$27:$L$30,'Phase 3'!$L$33:$L$35,'Phase 3'!$W$36:$AD$47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2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'Phase 2'!$E$39:$H$39</definedName>
    <definedName name="solver_lhs1" localSheetId="2" hidden="1">'Phase 3'!$AE$36:$AE$47</definedName>
    <definedName name="solver_lhs2" localSheetId="1" hidden="1">'Phase 2'!$L$20:$L$24</definedName>
    <definedName name="solver_lhs2" localSheetId="2" hidden="1">'Phase 3'!$E$39:$H$39</definedName>
    <definedName name="solver_lhs3" localSheetId="1" hidden="1">'Phase 2'!$L$27:$L$30</definedName>
    <definedName name="solver_lhs3" localSheetId="2" hidden="1">'Phase 3'!$L$20:$L$24</definedName>
    <definedName name="solver_lhs4" localSheetId="1" hidden="1">'Phase 2'!$L$33:$L$35</definedName>
    <definedName name="solver_lhs4" localSheetId="2" hidden="1">'Phase 3'!$L$27:$L$30</definedName>
    <definedName name="solver_lhs5" localSheetId="1" hidden="1">'Phase 2'!$O$32:$O$35</definedName>
    <definedName name="solver_lhs5" localSheetId="2" hidden="1">'Phase 3'!$L$33:$L$35</definedName>
    <definedName name="solver_lhs6" localSheetId="2" hidden="1">'Phase 3'!$P$32:$P$35</definedName>
    <definedName name="solver_lhs7" localSheetId="2" hidden="1">'Phase 3'!$W$36:$AD$47</definedName>
    <definedName name="solver_lhs8" localSheetId="2" hidden="1">'Phase 3'!$W$48:$AD$48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5</definedName>
    <definedName name="solver_num" localSheetId="2" hidden="1">8</definedName>
    <definedName name="solver_nwt" localSheetId="1" hidden="1">1</definedName>
    <definedName name="solver_nwt" localSheetId="2" hidden="1">1</definedName>
    <definedName name="solver_opt" localSheetId="1" hidden="1">'Phase 2'!$U$10</definedName>
    <definedName name="solver_opt" localSheetId="2" hidden="1">'Phase 3'!$J$39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2</definedName>
    <definedName name="solver_rel1" localSheetId="1" hidden="1">1</definedName>
    <definedName name="solver_rel1" localSheetId="2" hidden="1">2</definedName>
    <definedName name="solver_rel2" localSheetId="1" hidden="1">5</definedName>
    <definedName name="solver_rel2" localSheetId="2" hidden="1">1</definedName>
    <definedName name="solver_rel3" localSheetId="1" hidden="1">5</definedName>
    <definedName name="solver_rel3" localSheetId="2" hidden="1">5</definedName>
    <definedName name="solver_rel4" localSheetId="1" hidden="1">5</definedName>
    <definedName name="solver_rel4" localSheetId="2" hidden="1">5</definedName>
    <definedName name="solver_rel5" localSheetId="1" hidden="1">3</definedName>
    <definedName name="solver_rel5" localSheetId="2" hidden="1">5</definedName>
    <definedName name="solver_rel6" localSheetId="2" hidden="1">3</definedName>
    <definedName name="solver_rel7" localSheetId="2" hidden="1">5</definedName>
    <definedName name="solver_rel8" localSheetId="2" hidden="1">2</definedName>
    <definedName name="solver_rhs1" localSheetId="1" hidden="1">'Phase 2'!$E$41:$H$41</definedName>
    <definedName name="solver_rhs1" localSheetId="2" hidden="1">'Phase 3'!$AG$36:$AG$47</definedName>
    <definedName name="solver_rhs2" localSheetId="1" hidden="1">"binary"</definedName>
    <definedName name="solver_rhs2" localSheetId="2" hidden="1">'Phase 3'!$E$41:$H$41</definedName>
    <definedName name="solver_rhs3" localSheetId="1" hidden="1">"binary"</definedName>
    <definedName name="solver_rhs3" localSheetId="2" hidden="1">"binary"</definedName>
    <definedName name="solver_rhs4" localSheetId="1" hidden="1">"binary"</definedName>
    <definedName name="solver_rhs4" localSheetId="2" hidden="1">"binary"</definedName>
    <definedName name="solver_rhs5" localSheetId="1" hidden="1">'Phase 2'!$Q$32:$Q$35</definedName>
    <definedName name="solver_rhs5" localSheetId="2" hidden="1">"binary"</definedName>
    <definedName name="solver_rhs6" localSheetId="2" hidden="1">'Phase 3'!$R$32:$R$35</definedName>
    <definedName name="solver_rhs7" localSheetId="2" hidden="1">"binary"</definedName>
    <definedName name="solver_rhs8" localSheetId="2" hidden="1">'Phase 3'!$W$50:$AD$50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8" i="3" l="1"/>
  <c r="AC48" i="3"/>
  <c r="AB48" i="3"/>
  <c r="AA48" i="3"/>
  <c r="Z48" i="3"/>
  <c r="Y48" i="3"/>
  <c r="X48" i="3"/>
  <c r="W48" i="3"/>
  <c r="AG47" i="3"/>
  <c r="AE47" i="3"/>
  <c r="AG46" i="3"/>
  <c r="AE46" i="3"/>
  <c r="AG45" i="3"/>
  <c r="AE45" i="3"/>
  <c r="AG44" i="3"/>
  <c r="AE44" i="3"/>
  <c r="AG43" i="3"/>
  <c r="AE43" i="3"/>
  <c r="AG42" i="3"/>
  <c r="AE42" i="3"/>
  <c r="M35" i="3"/>
  <c r="K35" i="3"/>
  <c r="J35" i="3"/>
  <c r="H35" i="3"/>
  <c r="G35" i="3"/>
  <c r="F35" i="3"/>
  <c r="E35" i="3"/>
  <c r="AG41" i="3"/>
  <c r="AE41" i="3"/>
  <c r="M34" i="3"/>
  <c r="J34" i="3"/>
  <c r="K34" i="3" s="1"/>
  <c r="G34" i="3"/>
  <c r="F34" i="3"/>
  <c r="E34" i="3"/>
  <c r="H34" i="3" s="1"/>
  <c r="AG40" i="3"/>
  <c r="AE40" i="3"/>
  <c r="M33" i="3"/>
  <c r="K33" i="3"/>
  <c r="J33" i="3"/>
  <c r="G33" i="3"/>
  <c r="F33" i="3"/>
  <c r="E33" i="3"/>
  <c r="AG39" i="3"/>
  <c r="AE39" i="3"/>
  <c r="AG38" i="3"/>
  <c r="AE38" i="3"/>
  <c r="AG37" i="3"/>
  <c r="AE37" i="3"/>
  <c r="M30" i="3"/>
  <c r="J30" i="3"/>
  <c r="K30" i="3" s="1"/>
  <c r="G30" i="3"/>
  <c r="F30" i="3"/>
  <c r="E30" i="3"/>
  <c r="AG36" i="3"/>
  <c r="AE36" i="3"/>
  <c r="M29" i="3"/>
  <c r="J29" i="3"/>
  <c r="K29" i="3" s="1"/>
  <c r="G29" i="3"/>
  <c r="F29" i="3"/>
  <c r="E29" i="3"/>
  <c r="M28" i="3"/>
  <c r="J28" i="3"/>
  <c r="K28" i="3" s="1"/>
  <c r="G28" i="3"/>
  <c r="F28" i="3"/>
  <c r="E28" i="3"/>
  <c r="H28" i="3" s="1"/>
  <c r="M27" i="3"/>
  <c r="J27" i="3"/>
  <c r="K27" i="3" s="1"/>
  <c r="G27" i="3"/>
  <c r="F27" i="3"/>
  <c r="E27" i="3"/>
  <c r="M24" i="3"/>
  <c r="J24" i="3"/>
  <c r="K24" i="3" s="1"/>
  <c r="G24" i="3"/>
  <c r="F24" i="3"/>
  <c r="E24" i="3"/>
  <c r="M23" i="3"/>
  <c r="J23" i="3"/>
  <c r="K23" i="3" s="1"/>
  <c r="G23" i="3"/>
  <c r="F23" i="3"/>
  <c r="E23" i="3"/>
  <c r="H23" i="3" s="1"/>
  <c r="M22" i="3"/>
  <c r="K22" i="3"/>
  <c r="J22" i="3"/>
  <c r="G22" i="3"/>
  <c r="F22" i="3"/>
  <c r="E22" i="3"/>
  <c r="M21" i="3"/>
  <c r="J21" i="3"/>
  <c r="K21" i="3" s="1"/>
  <c r="G21" i="3"/>
  <c r="F21" i="3"/>
  <c r="E21" i="3"/>
  <c r="H21" i="3" s="1"/>
  <c r="M20" i="3"/>
  <c r="K20" i="3"/>
  <c r="J20" i="3"/>
  <c r="G20" i="3"/>
  <c r="F20" i="3"/>
  <c r="E20" i="3"/>
  <c r="P34" i="3"/>
  <c r="P33" i="3"/>
  <c r="P32" i="3"/>
  <c r="P31" i="3"/>
  <c r="G36" i="2"/>
  <c r="Q48" i="2" s="1"/>
  <c r="F36" i="2"/>
  <c r="P48" i="2" s="1"/>
  <c r="E36" i="2"/>
  <c r="O48" i="2" s="1"/>
  <c r="K35" i="2"/>
  <c r="J35" i="2"/>
  <c r="G35" i="2"/>
  <c r="F35" i="2"/>
  <c r="E35" i="2"/>
  <c r="H35" i="2" s="1"/>
  <c r="J34" i="2"/>
  <c r="K34" i="2" s="1"/>
  <c r="G34" i="2"/>
  <c r="F34" i="2"/>
  <c r="E34" i="2"/>
  <c r="H34" i="2" s="1"/>
  <c r="K33" i="2"/>
  <c r="J33" i="2"/>
  <c r="G33" i="2"/>
  <c r="F33" i="2"/>
  <c r="E33" i="2"/>
  <c r="H33" i="2" s="1"/>
  <c r="J30" i="2"/>
  <c r="K30" i="2" s="1"/>
  <c r="G30" i="2"/>
  <c r="F30" i="2"/>
  <c r="E30" i="2"/>
  <c r="H30" i="2" s="1"/>
  <c r="J29" i="2"/>
  <c r="K29" i="2" s="1"/>
  <c r="G29" i="2"/>
  <c r="G31" i="2" s="1"/>
  <c r="Q47" i="2" s="1"/>
  <c r="F29" i="2"/>
  <c r="F31" i="2" s="1"/>
  <c r="P47" i="2" s="1"/>
  <c r="E29" i="2"/>
  <c r="J28" i="2"/>
  <c r="K28" i="2" s="1"/>
  <c r="G28" i="2"/>
  <c r="F28" i="2"/>
  <c r="E28" i="2"/>
  <c r="E31" i="2" s="1"/>
  <c r="O47" i="2" s="1"/>
  <c r="J27" i="2"/>
  <c r="K27" i="2" s="1"/>
  <c r="G27" i="2"/>
  <c r="F27" i="2"/>
  <c r="E27" i="2"/>
  <c r="H27" i="2" s="1"/>
  <c r="J24" i="2"/>
  <c r="K24" i="2" s="1"/>
  <c r="H24" i="2"/>
  <c r="G24" i="2"/>
  <c r="F24" i="2"/>
  <c r="E24" i="2"/>
  <c r="J23" i="2"/>
  <c r="K23" i="2" s="1"/>
  <c r="G23" i="2"/>
  <c r="F23" i="2"/>
  <c r="E23" i="2"/>
  <c r="H23" i="2" s="1"/>
  <c r="J22" i="2"/>
  <c r="K22" i="2" s="1"/>
  <c r="H22" i="2"/>
  <c r="G22" i="2"/>
  <c r="F22" i="2"/>
  <c r="E22" i="2"/>
  <c r="J21" i="2"/>
  <c r="K21" i="2" s="1"/>
  <c r="G21" i="2"/>
  <c r="G39" i="2" s="1"/>
  <c r="O29" i="2" s="1"/>
  <c r="F21" i="2"/>
  <c r="F39" i="2" s="1"/>
  <c r="O28" i="2" s="1"/>
  <c r="E21" i="2"/>
  <c r="H21" i="2" s="1"/>
  <c r="K20" i="2"/>
  <c r="J20" i="2"/>
  <c r="G20" i="2"/>
  <c r="F20" i="2"/>
  <c r="E20" i="2"/>
  <c r="H20" i="2" s="1"/>
  <c r="H25" i="2" s="1"/>
  <c r="O34" i="2"/>
  <c r="O33" i="2"/>
  <c r="O32" i="2"/>
  <c r="O35" i="2" s="1"/>
  <c r="O31" i="2"/>
  <c r="G36" i="1"/>
  <c r="Q47" i="1" s="1"/>
  <c r="F36" i="1"/>
  <c r="P47" i="1" s="1"/>
  <c r="J35" i="1"/>
  <c r="K35" i="1" s="1"/>
  <c r="G35" i="1"/>
  <c r="F35" i="1"/>
  <c r="E35" i="1"/>
  <c r="H35" i="1" s="1"/>
  <c r="J34" i="1"/>
  <c r="K34" i="1" s="1"/>
  <c r="G34" i="1"/>
  <c r="F34" i="1"/>
  <c r="E34" i="1"/>
  <c r="H34" i="1" s="1"/>
  <c r="K33" i="1"/>
  <c r="J33" i="1"/>
  <c r="G33" i="1"/>
  <c r="F33" i="1"/>
  <c r="E33" i="1"/>
  <c r="H33" i="1" s="1"/>
  <c r="J30" i="1"/>
  <c r="K30" i="1" s="1"/>
  <c r="G30" i="1"/>
  <c r="F30" i="1"/>
  <c r="E30" i="1"/>
  <c r="H30" i="1" s="1"/>
  <c r="K29" i="1"/>
  <c r="J29" i="1"/>
  <c r="G29" i="1"/>
  <c r="F29" i="1"/>
  <c r="H29" i="1" s="1"/>
  <c r="E29" i="1"/>
  <c r="J28" i="1"/>
  <c r="K28" i="1" s="1"/>
  <c r="G28" i="1"/>
  <c r="G31" i="1" s="1"/>
  <c r="Q46" i="1" s="1"/>
  <c r="F28" i="1"/>
  <c r="F31" i="1" s="1"/>
  <c r="P46" i="1" s="1"/>
  <c r="E28" i="1"/>
  <c r="E31" i="1" s="1"/>
  <c r="O46" i="1" s="1"/>
  <c r="J27" i="1"/>
  <c r="K27" i="1" s="1"/>
  <c r="G27" i="1"/>
  <c r="F27" i="1"/>
  <c r="E27" i="1"/>
  <c r="H27" i="1" s="1"/>
  <c r="J24" i="1"/>
  <c r="K24" i="1" s="1"/>
  <c r="G24" i="1"/>
  <c r="F24" i="1"/>
  <c r="E24" i="1"/>
  <c r="H24" i="1" s="1"/>
  <c r="J23" i="1"/>
  <c r="K23" i="1" s="1"/>
  <c r="G23" i="1"/>
  <c r="F23" i="1"/>
  <c r="E23" i="1"/>
  <c r="H23" i="1" s="1"/>
  <c r="J22" i="1"/>
  <c r="K22" i="1" s="1"/>
  <c r="G22" i="1"/>
  <c r="F22" i="1"/>
  <c r="E22" i="1"/>
  <c r="H22" i="1" s="1"/>
  <c r="J21" i="1"/>
  <c r="G21" i="1"/>
  <c r="G39" i="1" s="1"/>
  <c r="O29" i="1" s="1"/>
  <c r="F21" i="1"/>
  <c r="F25" i="1" s="1"/>
  <c r="P45" i="1" s="1"/>
  <c r="E21" i="1"/>
  <c r="H21" i="1" s="1"/>
  <c r="K20" i="1"/>
  <c r="J20" i="1"/>
  <c r="G20" i="1"/>
  <c r="F20" i="1"/>
  <c r="E20" i="1"/>
  <c r="H20" i="1" s="1"/>
  <c r="O34" i="1"/>
  <c r="O33" i="1"/>
  <c r="O32" i="1"/>
  <c r="O35" i="1" s="1"/>
  <c r="O31" i="1"/>
  <c r="P35" i="3" l="1"/>
  <c r="H20" i="3"/>
  <c r="G25" i="3"/>
  <c r="K46" i="3" s="1"/>
  <c r="H29" i="3"/>
  <c r="F31" i="3"/>
  <c r="J47" i="3" s="1"/>
  <c r="G31" i="3"/>
  <c r="K47" i="3" s="1"/>
  <c r="E36" i="3"/>
  <c r="I48" i="3" s="1"/>
  <c r="F36" i="3"/>
  <c r="J48" i="3" s="1"/>
  <c r="H24" i="3"/>
  <c r="G36" i="3"/>
  <c r="K48" i="3" s="1"/>
  <c r="E39" i="3"/>
  <c r="P27" i="3" s="1"/>
  <c r="H30" i="3"/>
  <c r="E31" i="3"/>
  <c r="I47" i="3" s="1"/>
  <c r="E25" i="3"/>
  <c r="I46" i="3" s="1"/>
  <c r="F39" i="3"/>
  <c r="P28" i="3" s="1"/>
  <c r="F25" i="3"/>
  <c r="J46" i="3" s="1"/>
  <c r="J39" i="1"/>
  <c r="J39" i="3"/>
  <c r="F45" i="3"/>
  <c r="H22" i="3"/>
  <c r="G39" i="3"/>
  <c r="P29" i="3" s="1"/>
  <c r="D45" i="3"/>
  <c r="H27" i="3"/>
  <c r="H33" i="3"/>
  <c r="H36" i="3" s="1"/>
  <c r="E45" i="3"/>
  <c r="J39" i="2"/>
  <c r="H45" i="2"/>
  <c r="H36" i="2"/>
  <c r="G45" i="2"/>
  <c r="E25" i="2"/>
  <c r="O46" i="2" s="1"/>
  <c r="F25" i="2"/>
  <c r="P46" i="2" s="1"/>
  <c r="H29" i="2"/>
  <c r="G25" i="2"/>
  <c r="Q46" i="2" s="1"/>
  <c r="E39" i="2"/>
  <c r="H28" i="2"/>
  <c r="H31" i="2" s="1"/>
  <c r="F45" i="2"/>
  <c r="H25" i="1"/>
  <c r="H36" i="1"/>
  <c r="G25" i="1"/>
  <c r="Q45" i="1" s="1"/>
  <c r="E39" i="1"/>
  <c r="K21" i="1"/>
  <c r="G44" i="1" s="1"/>
  <c r="H28" i="1"/>
  <c r="H31" i="1" s="1"/>
  <c r="F39" i="1"/>
  <c r="O28" i="1" s="1"/>
  <c r="E36" i="1"/>
  <c r="O47" i="1" s="1"/>
  <c r="E25" i="1"/>
  <c r="O45" i="1" s="1"/>
  <c r="H31" i="3" l="1"/>
  <c r="H25" i="3"/>
  <c r="H39" i="3"/>
  <c r="P30" i="3" s="1"/>
  <c r="P37" i="3" s="1"/>
  <c r="O27" i="2"/>
  <c r="H39" i="2"/>
  <c r="O30" i="2" s="1"/>
  <c r="F44" i="1"/>
  <c r="H39" i="1"/>
  <c r="O30" i="1" s="1"/>
  <c r="O27" i="1"/>
  <c r="O37" i="1" s="1"/>
  <c r="H44" i="1"/>
  <c r="O37" i="2" l="1"/>
</calcChain>
</file>

<file path=xl/sharedStrings.xml><?xml version="1.0" encoding="utf-8"?>
<sst xmlns="http://schemas.openxmlformats.org/spreadsheetml/2006/main" count="322" uniqueCount="69">
  <si>
    <t>Bluejay Natural Gas Financials (in millions)</t>
  </si>
  <si>
    <t>Given:</t>
  </si>
  <si>
    <t>Project Index</t>
  </si>
  <si>
    <t>Functional Area</t>
  </si>
  <si>
    <t>Partnership %</t>
  </si>
  <si>
    <t>Capex Year 1</t>
  </si>
  <si>
    <t>Capex Year 2</t>
  </si>
  <si>
    <t>Capex Year 3</t>
  </si>
  <si>
    <t>NPV</t>
  </si>
  <si>
    <t>Inputs</t>
  </si>
  <si>
    <t>FA 1</t>
  </si>
  <si>
    <t>Annual Revenue (millions)</t>
  </si>
  <si>
    <t>Expenditure (millions)</t>
  </si>
  <si>
    <t>Yearly Cap (millions)</t>
  </si>
  <si>
    <t>NPV Discount Rate % decrease:</t>
  </si>
  <si>
    <t>FA 2</t>
  </si>
  <si>
    <t xml:space="preserve">Requirement Checks </t>
  </si>
  <si>
    <t>Capital Ex. Under 4000 (Y1)</t>
  </si>
  <si>
    <t>Capital Ex. under 4000 (Y2)</t>
  </si>
  <si>
    <t>FA 3</t>
  </si>
  <si>
    <t>Capital Ex. under 4000 (Y3)</t>
  </si>
  <si>
    <t>Under $10,000 (year 1-3)</t>
  </si>
  <si>
    <t xml:space="preserve">Each FA has at least 1 project approved </t>
  </si>
  <si>
    <t>Number of Approved Project for FA 1</t>
  </si>
  <si>
    <t>Number of Approved Project for FA 2</t>
  </si>
  <si>
    <t>Adjusted based on % Partnership:</t>
  </si>
  <si>
    <t>Number of Approved Project for FA 3</t>
  </si>
  <si>
    <t>Total Cost</t>
  </si>
  <si>
    <t>New NPV</t>
  </si>
  <si>
    <t>ROI</t>
  </si>
  <si>
    <t>Approval Rating</t>
  </si>
  <si>
    <t xml:space="preserve">Total Number of Approved Projects </t>
  </si>
  <si>
    <t>Are the Conditions met?</t>
  </si>
  <si>
    <t>FA1 Approved Totals:</t>
  </si>
  <si>
    <t>Approved Cap Ex. Year Totals</t>
  </si>
  <si>
    <t>Year 1</t>
  </si>
  <si>
    <t>Year 2</t>
  </si>
  <si>
    <t>Year 3</t>
  </si>
  <si>
    <t>FA2 Approved Totals:</t>
  </si>
  <si>
    <t>FA3 Approved Totals:</t>
  </si>
  <si>
    <t>Total approved NPV:</t>
  </si>
  <si>
    <t>Overall Totals for Approved Projects:</t>
  </si>
  <si>
    <t>*Using What-if Analysis -&gt; Data Table</t>
  </si>
  <si>
    <t xml:space="preserve">% Change </t>
  </si>
  <si>
    <t>Average</t>
  </si>
  <si>
    <t>Minimum</t>
  </si>
  <si>
    <t>Maximum</t>
  </si>
  <si>
    <t>This gives a maximum NPV of $2024 with all projects approved except 1,10,12.</t>
  </si>
  <si>
    <t>&gt;=</t>
  </si>
  <si>
    <t>&lt;=</t>
  </si>
  <si>
    <t>This gives a maximum NPV of $1954 meeting all constraints for all approved projects except 1,3,10,12.</t>
  </si>
  <si>
    <t>Qualified Managers:</t>
  </si>
  <si>
    <t>Manager</t>
  </si>
  <si>
    <t>Project 1</t>
  </si>
  <si>
    <t>Project 2</t>
  </si>
  <si>
    <t>Project 3</t>
  </si>
  <si>
    <t>Project 4</t>
  </si>
  <si>
    <t>Project 5</t>
  </si>
  <si>
    <t>Project 6</t>
  </si>
  <si>
    <t>Manager to Assign</t>
  </si>
  <si>
    <t>Project 7</t>
  </si>
  <si>
    <t>Project 8</t>
  </si>
  <si>
    <t>Project 9</t>
  </si>
  <si>
    <t>Project 10</t>
  </si>
  <si>
    <t>Project 11</t>
  </si>
  <si>
    <t>Project 12</t>
  </si>
  <si>
    <t>Totals:</t>
  </si>
  <si>
    <t>Approved?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</si>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</sst>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-[$$-409]* #,##0_ ;_-[$$-409]* \-#,##0\ ;_-[$$-409]* &quot;-&quot;??_ ;_-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F1114"/>
      <name val="Source Sans Pro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2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2" xfId="2" applyFont="1" applyBorder="1"/>
    <xf numFmtId="0" fontId="7" fillId="0" borderId="2" xfId="2" applyFont="1" applyBorder="1"/>
    <xf numFmtId="0" fontId="7" fillId="0" borderId="3" xfId="2" applyFont="1" applyBorder="1"/>
    <xf numFmtId="0" fontId="8" fillId="0" borderId="2" xfId="2" applyFont="1" applyBorder="1" applyAlignment="1">
      <alignment horizontal="center"/>
    </xf>
    <xf numFmtId="0" fontId="9" fillId="2" borderId="2" xfId="2" applyFont="1" applyFill="1" applyBorder="1"/>
    <xf numFmtId="0" fontId="3" fillId="2" borderId="2" xfId="2" applyFill="1" applyBorder="1"/>
    <xf numFmtId="9" fontId="3" fillId="2" borderId="2" xfId="3" applyFont="1" applyFill="1" applyBorder="1"/>
    <xf numFmtId="165" fontId="3" fillId="2" borderId="2" xfId="4" applyNumberFormat="1" applyFont="1" applyFill="1" applyBorder="1"/>
    <xf numFmtId="165" fontId="3" fillId="2" borderId="3" xfId="4" applyNumberFormat="1" applyFont="1" applyFill="1" applyBorder="1"/>
    <xf numFmtId="0" fontId="10" fillId="0" borderId="2" xfId="2" applyFont="1" applyBorder="1"/>
    <xf numFmtId="165" fontId="10" fillId="0" borderId="2" xfId="2" applyNumberFormat="1" applyFont="1" applyBorder="1"/>
    <xf numFmtId="9" fontId="11" fillId="3" borderId="2" xfId="2" applyNumberFormat="1" applyFont="1" applyFill="1" applyBorder="1"/>
    <xf numFmtId="0" fontId="9" fillId="4" borderId="2" xfId="2" applyFont="1" applyFill="1" applyBorder="1"/>
    <xf numFmtId="0" fontId="3" fillId="4" borderId="2" xfId="2" applyFill="1" applyBorder="1"/>
    <xf numFmtId="9" fontId="3" fillId="4" borderId="2" xfId="3" applyFont="1" applyFill="1" applyBorder="1"/>
    <xf numFmtId="165" fontId="3" fillId="4" borderId="2" xfId="4" applyNumberFormat="1" applyFont="1" applyFill="1" applyBorder="1"/>
    <xf numFmtId="165" fontId="3" fillId="4" borderId="3" xfId="4" applyNumberFormat="1" applyFont="1" applyFill="1" applyBorder="1"/>
    <xf numFmtId="0" fontId="7" fillId="0" borderId="4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3" fillId="0" borderId="2" xfId="2" applyBorder="1"/>
    <xf numFmtId="0" fontId="9" fillId="5" borderId="2" xfId="2" applyFont="1" applyFill="1" applyBorder="1"/>
    <xf numFmtId="0" fontId="3" fillId="5" borderId="2" xfId="2" applyFill="1" applyBorder="1"/>
    <xf numFmtId="9" fontId="3" fillId="5" borderId="2" xfId="3" applyFont="1" applyFill="1" applyBorder="1"/>
    <xf numFmtId="165" fontId="3" fillId="5" borderId="2" xfId="4" applyNumberFormat="1" applyFont="1" applyFill="1" applyBorder="1"/>
    <xf numFmtId="165" fontId="3" fillId="5" borderId="3" xfId="4" applyNumberFormat="1" applyFont="1" applyFill="1" applyBorder="1"/>
    <xf numFmtId="0" fontId="6" fillId="0" borderId="2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9" fillId="0" borderId="2" xfId="2" applyFont="1" applyBorder="1"/>
    <xf numFmtId="0" fontId="3" fillId="6" borderId="2" xfId="2" applyFill="1" applyBorder="1"/>
    <xf numFmtId="165" fontId="0" fillId="0" borderId="2" xfId="0" applyNumberFormat="1" applyBorder="1"/>
    <xf numFmtId="1" fontId="0" fillId="0" borderId="2" xfId="0" applyNumberFormat="1" applyBorder="1"/>
    <xf numFmtId="9" fontId="0" fillId="0" borderId="2" xfId="1" applyFont="1" applyBorder="1"/>
    <xf numFmtId="0" fontId="0" fillId="3" borderId="2" xfId="0" applyFill="1" applyBorder="1"/>
    <xf numFmtId="0" fontId="0" fillId="0" borderId="2" xfId="0" applyBorder="1"/>
    <xf numFmtId="0" fontId="7" fillId="0" borderId="7" xfId="2" applyFont="1" applyBorder="1"/>
    <xf numFmtId="165" fontId="0" fillId="0" borderId="0" xfId="0" applyNumberFormat="1"/>
    <xf numFmtId="0" fontId="2" fillId="0" borderId="2" xfId="0" applyFont="1" applyBorder="1"/>
    <xf numFmtId="166" fontId="0" fillId="0" borderId="2" xfId="0" applyNumberFormat="1" applyBorder="1"/>
    <xf numFmtId="166" fontId="0" fillId="0" borderId="0" xfId="0" applyNumberFormat="1"/>
    <xf numFmtId="0" fontId="7" fillId="0" borderId="0" xfId="2" applyFont="1"/>
    <xf numFmtId="0" fontId="2" fillId="0" borderId="0" xfId="0" applyFont="1"/>
    <xf numFmtId="166" fontId="0" fillId="7" borderId="0" xfId="0" applyNumberFormat="1" applyFill="1"/>
    <xf numFmtId="0" fontId="7" fillId="0" borderId="2" xfId="0" applyFont="1" applyBorder="1" applyAlignment="1">
      <alignment horizontal="center"/>
    </xf>
    <xf numFmtId="9" fontId="12" fillId="0" borderId="2" xfId="0" applyNumberFormat="1" applyFont="1" applyBorder="1"/>
    <xf numFmtId="9" fontId="0" fillId="0" borderId="2" xfId="0" applyNumberFormat="1" applyBorder="1"/>
    <xf numFmtId="0" fontId="7" fillId="0" borderId="8" xfId="2" applyFont="1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0" fillId="0" borderId="7" xfId="0" applyBorder="1"/>
    <xf numFmtId="0" fontId="0" fillId="8" borderId="9" xfId="0" applyFill="1" applyBorder="1"/>
    <xf numFmtId="0" fontId="3" fillId="0" borderId="2" xfId="2" applyBorder="1" applyAlignment="1">
      <alignment wrapText="1"/>
    </xf>
    <xf numFmtId="0" fontId="10" fillId="0" borderId="2" xfId="2" applyFont="1" applyBorder="1" applyAlignment="1">
      <alignment wrapText="1"/>
    </xf>
    <xf numFmtId="0" fontId="7" fillId="0" borderId="2" xfId="2" applyFont="1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8" fillId="0" borderId="2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5">
    <cellStyle name="Currency 3" xfId="4" xr:uid="{CDFA2C94-0DAA-4EC3-A201-1642DE3A6142}"/>
    <cellStyle name="Normal" xfId="0" builtinId="0"/>
    <cellStyle name="Normal 2" xfId="2" xr:uid="{7BDDA338-BD8F-4562-B741-C6536BF33342}"/>
    <cellStyle name="Percent" xfId="1" builtinId="5"/>
    <cellStyle name="Percent 2" xfId="3" xr:uid="{71730BBB-F843-4575-B59D-4281C85EE5BC}"/>
  </cellStyles>
  <dxfs count="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f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f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f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603038</xdr:colOff>
      <xdr:row>21</xdr:row>
      <xdr:rowOff>847</xdr:rowOff>
    </xdr:from>
    <xdr:to>
      <xdr:col>17</xdr:col>
      <xdr:colOff>812588</xdr:colOff>
      <xdr:row>24</xdr:row>
      <xdr:rowOff>6562</xdr:rowOff>
    </xdr:to>
    <xdr:sp macro="" textlink="">
      <xdr:nvSpPr>
        <xdr:cNvPr id="2" name="Alternate Process 5">
          <a:extLst>
            <a:ext uri="{FF2B5EF4-FFF2-40B4-BE49-F238E27FC236}">
              <a16:creationId xmlns:a16="http://schemas.microsoft.com/office/drawing/2014/main" id="{9B1697B9-1EA9-42B2-AD96-58F94D9395DB}"/>
            </a:ext>
          </a:extLst>
        </xdr:cNvPr>
        <xdr:cNvSpPr/>
      </xdr:nvSpPr>
      <xdr:spPr>
        <a:xfrm>
          <a:off x="14985788" y="4223597"/>
          <a:ext cx="2432050" cy="608965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Insert</a:t>
          </a:r>
          <a:r>
            <a:rPr lang="en-US" sz="1200" baseline="0"/>
            <a:t>  Discount Rate Reduction </a:t>
          </a:r>
        </a:p>
        <a:p>
          <a:pPr algn="ctr"/>
          <a:r>
            <a:rPr lang="en-US" sz="1200" baseline="0"/>
            <a:t>Here:</a:t>
          </a:r>
          <a:endParaRPr lang="en-US" sz="120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63923</xdr:colOff>
      <xdr:row>21</xdr:row>
      <xdr:rowOff>157903</xdr:rowOff>
    </xdr:from>
    <xdr:to>
      <xdr:col>15</xdr:col>
      <xdr:colOff>579543</xdr:colOff>
      <xdr:row>23</xdr:row>
      <xdr:rowOff>36618</xdr:rowOff>
    </xdr:to>
    <xdr:sp macro="" textlink="">
      <xdr:nvSpPr>
        <xdr:cNvPr id="3" name="Left Arrow 6">
          <a:extLst>
            <a:ext uri="{FF2B5EF4-FFF2-40B4-BE49-F238E27FC236}">
              <a16:creationId xmlns:a16="http://schemas.microsoft.com/office/drawing/2014/main" id="{238F86D8-513E-4B86-96DB-5C5B6BB6DD81}"/>
            </a:ext>
          </a:extLst>
        </xdr:cNvPr>
        <xdr:cNvSpPr/>
      </xdr:nvSpPr>
      <xdr:spPr>
        <a:xfrm>
          <a:off x="14446673" y="4380653"/>
          <a:ext cx="515620" cy="28088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32384</xdr:colOff>
      <xdr:row>14</xdr:row>
      <xdr:rowOff>179070</xdr:rowOff>
    </xdr:from>
    <xdr:to>
      <xdr:col>11</xdr:col>
      <xdr:colOff>1064894</xdr:colOff>
      <xdr:row>17</xdr:row>
      <xdr:rowOff>7619</xdr:rowOff>
    </xdr:to>
    <xdr:sp macro="" textlink="">
      <xdr:nvSpPr>
        <xdr:cNvPr id="4" name="Alternate Process 1">
          <a:extLst>
            <a:ext uri="{FF2B5EF4-FFF2-40B4-BE49-F238E27FC236}">
              <a16:creationId xmlns:a16="http://schemas.microsoft.com/office/drawing/2014/main" id="{E60DB596-038D-4C23-81A9-0A3EE73B4047}"/>
            </a:ext>
          </a:extLst>
        </xdr:cNvPr>
        <xdr:cNvSpPr/>
      </xdr:nvSpPr>
      <xdr:spPr>
        <a:xfrm>
          <a:off x="8957309" y="3027045"/>
          <a:ext cx="1032510" cy="428624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Insert 0 or 1 here: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401955</xdr:colOff>
      <xdr:row>17</xdr:row>
      <xdr:rowOff>24765</xdr:rowOff>
    </xdr:from>
    <xdr:to>
      <xdr:col>11</xdr:col>
      <xdr:colOff>636270</xdr:colOff>
      <xdr:row>17</xdr:row>
      <xdr:rowOff>188595</xdr:rowOff>
    </xdr:to>
    <xdr:sp macro="" textlink="">
      <xdr:nvSpPr>
        <xdr:cNvPr id="5" name="Down Arrow 7">
          <a:extLst>
            <a:ext uri="{FF2B5EF4-FFF2-40B4-BE49-F238E27FC236}">
              <a16:creationId xmlns:a16="http://schemas.microsoft.com/office/drawing/2014/main" id="{794601FB-E358-49C9-AB27-15F1F8F25588}"/>
            </a:ext>
          </a:extLst>
        </xdr:cNvPr>
        <xdr:cNvSpPr/>
      </xdr:nvSpPr>
      <xdr:spPr>
        <a:xfrm>
          <a:off x="9326880" y="3472815"/>
          <a:ext cx="234315" cy="1638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586740</xdr:colOff>
      <xdr:row>20</xdr:row>
      <xdr:rowOff>167640</xdr:rowOff>
    </xdr:from>
    <xdr:to>
      <xdr:col>18</xdr:col>
      <xdr:colOff>533400</xdr:colOff>
      <xdr:row>24</xdr:row>
      <xdr:rowOff>114300</xdr:rowOff>
    </xdr:to>
    <xdr:sp macro="" textlink="">
      <xdr:nvSpPr>
        <xdr:cNvPr id="2" name="Alternate Process 5">
          <a:extLst>
            <a:ext uri="{FF2B5EF4-FFF2-40B4-BE49-F238E27FC236}">
              <a16:creationId xmlns:a16="http://schemas.microsoft.com/office/drawing/2014/main" id="{ED3335A9-6AB7-4272-8EAF-4EAA3D1CF9F1}"/>
            </a:ext>
          </a:extLst>
        </xdr:cNvPr>
        <xdr:cNvSpPr/>
      </xdr:nvSpPr>
      <xdr:spPr>
        <a:xfrm>
          <a:off x="14940915" y="4177665"/>
          <a:ext cx="1775460" cy="74676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Insert</a:t>
          </a:r>
          <a:r>
            <a:rPr lang="en-US" sz="1200" baseline="0"/>
            <a:t>  Discount Rate Reduction </a:t>
          </a:r>
        </a:p>
        <a:p>
          <a:pPr algn="ctr"/>
          <a:r>
            <a:rPr lang="en-US" sz="1200" baseline="0"/>
            <a:t>Here:</a:t>
          </a:r>
          <a:endParaRPr lang="en-US" sz="120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57150</xdr:colOff>
      <xdr:row>21</xdr:row>
      <xdr:rowOff>180975</xdr:rowOff>
    </xdr:from>
    <xdr:to>
      <xdr:col>15</xdr:col>
      <xdr:colOff>568960</xdr:colOff>
      <xdr:row>23</xdr:row>
      <xdr:rowOff>53975</xdr:rowOff>
    </xdr:to>
    <xdr:sp macro="" textlink="">
      <xdr:nvSpPr>
        <xdr:cNvPr id="3" name="Left Arrow 6">
          <a:extLst>
            <a:ext uri="{FF2B5EF4-FFF2-40B4-BE49-F238E27FC236}">
              <a16:creationId xmlns:a16="http://schemas.microsoft.com/office/drawing/2014/main" id="{F249A200-E33A-4441-A9DF-BE909E78CB13}"/>
            </a:ext>
          </a:extLst>
        </xdr:cNvPr>
        <xdr:cNvSpPr/>
      </xdr:nvSpPr>
      <xdr:spPr>
        <a:xfrm>
          <a:off x="14407515" y="1226820"/>
          <a:ext cx="515620" cy="27876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34290</xdr:colOff>
      <xdr:row>1</xdr:row>
      <xdr:rowOff>55204</xdr:rowOff>
    </xdr:from>
    <xdr:to>
      <xdr:col>25</xdr:col>
      <xdr:colOff>96433</xdr:colOff>
      <xdr:row>18</xdr:row>
      <xdr:rowOff>197774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7B1519-8450-4BFD-9AE3-D6104F19C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2373" y="319787"/>
          <a:ext cx="3748953" cy="3495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593514</xdr:colOff>
      <xdr:row>21</xdr:row>
      <xdr:rowOff>21167</xdr:rowOff>
    </xdr:from>
    <xdr:to>
      <xdr:col>20</xdr:col>
      <xdr:colOff>55880</xdr:colOff>
      <xdr:row>24</xdr:row>
      <xdr:rowOff>68368</xdr:rowOff>
    </xdr:to>
    <xdr:sp macro="" textlink="">
      <xdr:nvSpPr>
        <xdr:cNvPr id="2" name="Alternate Process 5">
          <a:extLst>
            <a:ext uri="{FF2B5EF4-FFF2-40B4-BE49-F238E27FC236}">
              <a16:creationId xmlns:a16="http://schemas.microsoft.com/office/drawing/2014/main" id="{C35665E3-8128-4A69-BA0E-9E3EB6D0D5A3}"/>
            </a:ext>
          </a:extLst>
        </xdr:cNvPr>
        <xdr:cNvSpPr/>
      </xdr:nvSpPr>
      <xdr:spPr>
        <a:xfrm>
          <a:off x="16510847" y="4243917"/>
          <a:ext cx="1917700" cy="650451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Insert</a:t>
          </a:r>
          <a:r>
            <a:rPr lang="en-US" sz="1200" baseline="0"/>
            <a:t>  Discount Rate Reduction </a:t>
          </a:r>
        </a:p>
        <a:p>
          <a:pPr algn="ctr"/>
          <a:r>
            <a:rPr lang="en-US" sz="1200" baseline="0"/>
            <a:t>Here:</a:t>
          </a:r>
          <a:endParaRPr lang="en-US" sz="12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57150</xdr:colOff>
      <xdr:row>21</xdr:row>
      <xdr:rowOff>180975</xdr:rowOff>
    </xdr:from>
    <xdr:to>
      <xdr:col>16</xdr:col>
      <xdr:colOff>568960</xdr:colOff>
      <xdr:row>23</xdr:row>
      <xdr:rowOff>53975</xdr:rowOff>
    </xdr:to>
    <xdr:sp macro="" textlink="">
      <xdr:nvSpPr>
        <xdr:cNvPr id="3" name="Left Arrow 6">
          <a:extLst>
            <a:ext uri="{FF2B5EF4-FFF2-40B4-BE49-F238E27FC236}">
              <a16:creationId xmlns:a16="http://schemas.microsoft.com/office/drawing/2014/main" id="{329A79BF-46D9-4909-A627-6C416266B2A8}"/>
            </a:ext>
          </a:extLst>
        </xdr:cNvPr>
        <xdr:cNvSpPr/>
      </xdr:nvSpPr>
      <xdr:spPr>
        <a:xfrm>
          <a:off x="15941040" y="1226820"/>
          <a:ext cx="515620" cy="27876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0</xdr:colOff>
      <xdr:row>18</xdr:row>
      <xdr:rowOff>0</xdr:rowOff>
    </xdr:from>
    <xdr:to>
      <xdr:col>27</xdr:col>
      <xdr:colOff>474328</xdr:colOff>
      <xdr:row>30</xdr:row>
      <xdr:rowOff>2461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FDE23C-08EB-4100-BDC0-533596636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1700" y="3609975"/>
          <a:ext cx="4503403" cy="4199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17BC-433A-4F65-B0E4-166D72DBD468}">
  <dimension ref="A1:U51"/>
  <sheetViews>
    <sheetView zoomScale="90" zoomScaleNormal="90" workbookViewId="0">
      <selection sqref="A1:M1"/>
    </sheetView>
  </sheetViews>
  <sheetFormatPr defaultRowHeight="14.4" x14ac:dyDescent="0.3"/>
  <cols>
    <col min="2" max="2" width="12.33203125" bestFit="1" customWidth="1"/>
    <col min="3" max="3" width="16.109375" bestFit="1" customWidth="1"/>
    <col min="4" max="4" width="15.21875" customWidth="1"/>
    <col min="5" max="7" width="13.109375" bestFit="1" customWidth="1"/>
    <col min="8" max="8" width="10.44140625" bestFit="1" customWidth="1"/>
    <col min="10" max="10" width="10.109375" bestFit="1" customWidth="1"/>
    <col min="12" max="12" width="16.5546875" bestFit="1" customWidth="1"/>
    <col min="14" max="14" width="37.5546875" customWidth="1"/>
    <col min="15" max="15" width="16.21875" customWidth="1"/>
    <col min="16" max="16" width="17.21875" customWidth="1"/>
    <col min="17" max="17" width="15.109375" customWidth="1"/>
    <col min="18" max="18" width="20.44140625" customWidth="1"/>
  </cols>
  <sheetData>
    <row r="1" spans="1:21" ht="21" x14ac:dyDescent="0.4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U1" s="2"/>
    </row>
    <row r="2" spans="1:21" x14ac:dyDescent="0.3">
      <c r="A2" t="s">
        <v>1</v>
      </c>
      <c r="U2" s="2"/>
    </row>
    <row r="3" spans="1:21" ht="15.6" x14ac:dyDescent="0.3"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4" t="s">
        <v>8</v>
      </c>
      <c r="U3" s="2"/>
    </row>
    <row r="4" spans="1:21" ht="15.6" x14ac:dyDescent="0.3">
      <c r="B4" s="7">
        <v>1</v>
      </c>
      <c r="C4" s="8" t="s">
        <v>10</v>
      </c>
      <c r="D4" s="9">
        <v>1</v>
      </c>
      <c r="E4" s="10">
        <v>250</v>
      </c>
      <c r="F4" s="10">
        <v>100</v>
      </c>
      <c r="G4" s="11">
        <v>100</v>
      </c>
      <c r="H4" s="8">
        <v>60</v>
      </c>
    </row>
    <row r="5" spans="1:21" ht="15.6" x14ac:dyDescent="0.3">
      <c r="B5" s="7">
        <v>2</v>
      </c>
      <c r="C5" s="8" t="s">
        <v>10</v>
      </c>
      <c r="D5" s="9">
        <v>0.33</v>
      </c>
      <c r="E5" s="10">
        <v>500</v>
      </c>
      <c r="F5" s="10">
        <v>300</v>
      </c>
      <c r="G5" s="11">
        <v>300</v>
      </c>
      <c r="H5" s="8">
        <v>180</v>
      </c>
    </row>
    <row r="6" spans="1:21" ht="15.6" x14ac:dyDescent="0.3">
      <c r="B6" s="7">
        <v>3</v>
      </c>
      <c r="C6" s="8" t="s">
        <v>10</v>
      </c>
      <c r="D6" s="9">
        <v>0.5</v>
      </c>
      <c r="E6" s="10">
        <v>100</v>
      </c>
      <c r="F6" s="10">
        <v>200</v>
      </c>
      <c r="G6" s="11">
        <v>400</v>
      </c>
      <c r="H6" s="8">
        <v>80</v>
      </c>
    </row>
    <row r="7" spans="1:21" ht="15.6" x14ac:dyDescent="0.3">
      <c r="B7" s="7">
        <v>4</v>
      </c>
      <c r="C7" s="8" t="s">
        <v>10</v>
      </c>
      <c r="D7" s="9">
        <v>1</v>
      </c>
      <c r="E7" s="10">
        <v>750</v>
      </c>
      <c r="F7" s="10">
        <v>500</v>
      </c>
      <c r="G7" s="11">
        <v>300</v>
      </c>
      <c r="H7" s="8">
        <v>310</v>
      </c>
    </row>
    <row r="8" spans="1:21" ht="15.6" x14ac:dyDescent="0.3">
      <c r="B8" s="7">
        <v>5</v>
      </c>
      <c r="C8" s="8" t="s">
        <v>10</v>
      </c>
      <c r="D8" s="9">
        <v>0.75</v>
      </c>
      <c r="E8" s="10">
        <v>200</v>
      </c>
      <c r="F8" s="10">
        <v>400</v>
      </c>
      <c r="G8" s="11">
        <v>800</v>
      </c>
      <c r="H8" s="8">
        <v>220</v>
      </c>
    </row>
    <row r="9" spans="1:21" ht="15.6" x14ac:dyDescent="0.3">
      <c r="B9" s="15">
        <v>6</v>
      </c>
      <c r="C9" s="16" t="s">
        <v>15</v>
      </c>
      <c r="D9" s="17">
        <v>0.5</v>
      </c>
      <c r="E9" s="18">
        <v>1000</v>
      </c>
      <c r="F9" s="18">
        <v>300</v>
      </c>
      <c r="G9" s="19">
        <v>300</v>
      </c>
      <c r="H9" s="16">
        <v>180</v>
      </c>
    </row>
    <row r="10" spans="1:21" ht="15.6" x14ac:dyDescent="0.3">
      <c r="B10" s="15">
        <v>7</v>
      </c>
      <c r="C10" s="16" t="s">
        <v>15</v>
      </c>
      <c r="D10" s="17">
        <v>1</v>
      </c>
      <c r="E10" s="18">
        <v>750</v>
      </c>
      <c r="F10" s="18">
        <v>750</v>
      </c>
      <c r="G10" s="19">
        <v>300</v>
      </c>
      <c r="H10" s="16">
        <v>410</v>
      </c>
    </row>
    <row r="11" spans="1:21" ht="15.6" x14ac:dyDescent="0.3">
      <c r="B11" s="15">
        <v>8</v>
      </c>
      <c r="C11" s="16" t="s">
        <v>15</v>
      </c>
      <c r="D11" s="17">
        <v>1</v>
      </c>
      <c r="E11" s="18">
        <v>800</v>
      </c>
      <c r="F11" s="18">
        <v>700</v>
      </c>
      <c r="G11" s="19">
        <v>600</v>
      </c>
      <c r="H11" s="16">
        <v>280</v>
      </c>
    </row>
    <row r="12" spans="1:21" ht="15.6" x14ac:dyDescent="0.3">
      <c r="B12" s="15">
        <v>9</v>
      </c>
      <c r="C12" s="16" t="s">
        <v>15</v>
      </c>
      <c r="D12" s="17">
        <v>0.67</v>
      </c>
      <c r="E12" s="18">
        <v>400</v>
      </c>
      <c r="F12" s="18">
        <v>600</v>
      </c>
      <c r="G12" s="19">
        <v>800</v>
      </c>
      <c r="H12" s="16">
        <v>380</v>
      </c>
    </row>
    <row r="13" spans="1:21" ht="15.6" x14ac:dyDescent="0.3">
      <c r="B13" s="23">
        <v>10</v>
      </c>
      <c r="C13" s="24" t="s">
        <v>19</v>
      </c>
      <c r="D13" s="25">
        <v>1</v>
      </c>
      <c r="E13" s="26">
        <v>100</v>
      </c>
      <c r="F13" s="26">
        <v>200</v>
      </c>
      <c r="G13" s="27">
        <v>400</v>
      </c>
      <c r="H13" s="24">
        <v>100</v>
      </c>
    </row>
    <row r="14" spans="1:21" ht="15.6" x14ac:dyDescent="0.3">
      <c r="B14" s="23">
        <v>11</v>
      </c>
      <c r="C14" s="24" t="s">
        <v>19</v>
      </c>
      <c r="D14" s="25">
        <v>0.5</v>
      </c>
      <c r="E14" s="26">
        <v>700</v>
      </c>
      <c r="F14" s="26">
        <v>500</v>
      </c>
      <c r="G14" s="27">
        <v>300</v>
      </c>
      <c r="H14" s="24">
        <v>260</v>
      </c>
    </row>
    <row r="15" spans="1:21" ht="15.6" x14ac:dyDescent="0.3">
      <c r="B15" s="23">
        <v>12</v>
      </c>
      <c r="C15" s="24" t="s">
        <v>19</v>
      </c>
      <c r="D15" s="25">
        <v>1</v>
      </c>
      <c r="E15" s="26">
        <v>1500</v>
      </c>
      <c r="F15" s="26">
        <v>400</v>
      </c>
      <c r="G15" s="27">
        <v>400</v>
      </c>
      <c r="H15" s="24">
        <v>340</v>
      </c>
    </row>
    <row r="18" spans="2:15" ht="15.6" x14ac:dyDescent="0.3">
      <c r="C18" s="65" t="s">
        <v>25</v>
      </c>
      <c r="D18" s="65"/>
      <c r="E18" s="65"/>
      <c r="F18" s="65"/>
    </row>
    <row r="19" spans="2:15" ht="15.6" x14ac:dyDescent="0.3">
      <c r="B19" s="28" t="s">
        <v>2</v>
      </c>
      <c r="C19" s="29" t="s">
        <v>3</v>
      </c>
      <c r="D19" s="29" t="s">
        <v>4</v>
      </c>
      <c r="E19" s="4" t="s">
        <v>5</v>
      </c>
      <c r="F19" s="4" t="s">
        <v>6</v>
      </c>
      <c r="G19" s="4" t="s">
        <v>7</v>
      </c>
      <c r="H19" s="4" t="s">
        <v>27</v>
      </c>
      <c r="I19" s="4" t="s">
        <v>8</v>
      </c>
      <c r="J19" s="4" t="s">
        <v>28</v>
      </c>
      <c r="K19" s="4" t="s">
        <v>29</v>
      </c>
      <c r="L19" s="4" t="s">
        <v>30</v>
      </c>
      <c r="N19" s="62" t="s">
        <v>9</v>
      </c>
      <c r="O19" s="62"/>
    </row>
    <row r="20" spans="2:15" ht="15.6" x14ac:dyDescent="0.3">
      <c r="B20" s="30">
        <v>1</v>
      </c>
      <c r="C20" s="31" t="s">
        <v>10</v>
      </c>
      <c r="D20" s="9">
        <v>1</v>
      </c>
      <c r="E20" s="32">
        <f>$D$20*E4</f>
        <v>250</v>
      </c>
      <c r="F20" s="32">
        <f>$D$20*F4</f>
        <v>100</v>
      </c>
      <c r="G20" s="32">
        <f>$D$20*G4</f>
        <v>100</v>
      </c>
      <c r="H20" s="32">
        <f>SUM(E20:G20)</f>
        <v>450</v>
      </c>
      <c r="I20" s="8">
        <v>60</v>
      </c>
      <c r="J20" s="33">
        <f>I20*(1-$O$23)</f>
        <v>52.8</v>
      </c>
      <c r="K20" s="34" t="str">
        <f>IF(L20=0,"",J20/SUM(E4:G4))</f>
        <v/>
      </c>
      <c r="L20" s="35">
        <v>0</v>
      </c>
      <c r="N20" s="12" t="s">
        <v>11</v>
      </c>
      <c r="O20" s="13">
        <v>50000</v>
      </c>
    </row>
    <row r="21" spans="2:15" ht="15.6" x14ac:dyDescent="0.3">
      <c r="B21" s="30">
        <v>2</v>
      </c>
      <c r="C21" s="31" t="s">
        <v>10</v>
      </c>
      <c r="D21" s="9">
        <v>0.33</v>
      </c>
      <c r="E21" s="32">
        <f>$D$21*E5</f>
        <v>165</v>
      </c>
      <c r="F21" s="32">
        <f t="shared" ref="F21:G21" si="0">$D$21*F5</f>
        <v>99</v>
      </c>
      <c r="G21" s="32">
        <f t="shared" si="0"/>
        <v>99</v>
      </c>
      <c r="H21" s="32">
        <f t="shared" ref="H21:H24" si="1">SUM(E21:G21)</f>
        <v>363</v>
      </c>
      <c r="I21" s="8">
        <v>180</v>
      </c>
      <c r="J21" s="33">
        <f>I21*(1-$O$23)</f>
        <v>158.4</v>
      </c>
      <c r="K21" s="34">
        <f t="shared" ref="K21:K24" si="2">IF(L21=0,"",J21/SUM(E5:G5))</f>
        <v>0.14400000000000002</v>
      </c>
      <c r="L21" s="35">
        <v>1</v>
      </c>
      <c r="N21" s="12" t="s">
        <v>12</v>
      </c>
      <c r="O21" s="13">
        <v>10000</v>
      </c>
    </row>
    <row r="22" spans="2:15" ht="15.6" x14ac:dyDescent="0.3">
      <c r="B22" s="30">
        <v>3</v>
      </c>
      <c r="C22" s="31" t="s">
        <v>10</v>
      </c>
      <c r="D22" s="9">
        <v>0.5</v>
      </c>
      <c r="E22" s="32">
        <f>$D$22*E6</f>
        <v>50</v>
      </c>
      <c r="F22" s="32">
        <f t="shared" ref="F22:G22" si="3">$D$22*F6</f>
        <v>100</v>
      </c>
      <c r="G22" s="32">
        <f t="shared" si="3"/>
        <v>200</v>
      </c>
      <c r="H22" s="32">
        <f t="shared" si="1"/>
        <v>350</v>
      </c>
      <c r="I22" s="8">
        <v>80</v>
      </c>
      <c r="J22" s="33">
        <f>I22*(1-$O$23)</f>
        <v>70.400000000000006</v>
      </c>
      <c r="K22" s="34">
        <f t="shared" si="2"/>
        <v>0.10057142857142858</v>
      </c>
      <c r="L22" s="35">
        <v>1</v>
      </c>
      <c r="N22" s="12" t="s">
        <v>13</v>
      </c>
      <c r="O22" s="13">
        <v>4000</v>
      </c>
    </row>
    <row r="23" spans="2:15" ht="15.6" x14ac:dyDescent="0.3">
      <c r="B23" s="30">
        <v>4</v>
      </c>
      <c r="C23" s="31" t="s">
        <v>10</v>
      </c>
      <c r="D23" s="9">
        <v>1</v>
      </c>
      <c r="E23" s="32">
        <f>$D$23*E7</f>
        <v>750</v>
      </c>
      <c r="F23" s="32">
        <f t="shared" ref="F23:G23" si="4">$D$23*F7</f>
        <v>500</v>
      </c>
      <c r="G23" s="32">
        <f t="shared" si="4"/>
        <v>300</v>
      </c>
      <c r="H23" s="32">
        <f t="shared" si="1"/>
        <v>1550</v>
      </c>
      <c r="I23" s="8">
        <v>310</v>
      </c>
      <c r="J23" s="33">
        <f>I23*(1-$O$23)</f>
        <v>272.8</v>
      </c>
      <c r="K23" s="34">
        <f t="shared" si="2"/>
        <v>0.17600000000000002</v>
      </c>
      <c r="L23" s="35">
        <v>1</v>
      </c>
      <c r="N23" s="12" t="s">
        <v>14</v>
      </c>
      <c r="O23" s="14">
        <v>0.12</v>
      </c>
    </row>
    <row r="24" spans="2:15" ht="15.6" x14ac:dyDescent="0.3">
      <c r="B24" s="30">
        <v>5</v>
      </c>
      <c r="C24" s="31" t="s">
        <v>10</v>
      </c>
      <c r="D24" s="9">
        <v>0.75</v>
      </c>
      <c r="E24" s="32">
        <f>$D$24*E8</f>
        <v>150</v>
      </c>
      <c r="F24" s="32">
        <f t="shared" ref="F24:G24" si="5">$D$24*F8</f>
        <v>300</v>
      </c>
      <c r="G24" s="32">
        <f t="shared" si="5"/>
        <v>600</v>
      </c>
      <c r="H24" s="32">
        <f t="shared" si="1"/>
        <v>1050</v>
      </c>
      <c r="I24" s="8">
        <v>220</v>
      </c>
      <c r="J24" s="33">
        <f>I24*(1-$O$23)</f>
        <v>193.6</v>
      </c>
      <c r="K24" s="34">
        <f t="shared" si="2"/>
        <v>0.13828571428571429</v>
      </c>
      <c r="L24" s="35">
        <v>1</v>
      </c>
    </row>
    <row r="25" spans="2:15" ht="15.6" x14ac:dyDescent="0.3">
      <c r="C25" s="48" t="s">
        <v>33</v>
      </c>
      <c r="E25" s="38">
        <f>SUMPRODUCT(E20:E24,$L$20:$L$24)</f>
        <v>1115</v>
      </c>
      <c r="F25" s="38">
        <f t="shared" ref="F25:H25" si="6">SUMPRODUCT(F20:F24,$L$20:$L$24)</f>
        <v>999</v>
      </c>
      <c r="G25" s="38">
        <f t="shared" si="6"/>
        <v>1199</v>
      </c>
      <c r="H25" s="38">
        <f t="shared" si="6"/>
        <v>3313</v>
      </c>
    </row>
    <row r="26" spans="2:15" ht="15.6" x14ac:dyDescent="0.3">
      <c r="N26" s="63" t="s">
        <v>16</v>
      </c>
      <c r="O26" s="64"/>
    </row>
    <row r="27" spans="2:15" ht="15.6" x14ac:dyDescent="0.3">
      <c r="B27" s="36">
        <v>6</v>
      </c>
      <c r="C27" s="16" t="s">
        <v>15</v>
      </c>
      <c r="D27" s="17">
        <v>0.5</v>
      </c>
      <c r="E27" s="32">
        <f>$D$27*E9</f>
        <v>500</v>
      </c>
      <c r="F27" s="32">
        <f t="shared" ref="F27:G27" si="7">$D$27*F9</f>
        <v>150</v>
      </c>
      <c r="G27" s="32">
        <f t="shared" si="7"/>
        <v>150</v>
      </c>
      <c r="H27" s="32">
        <f>SUM(E27:G27)</f>
        <v>800</v>
      </c>
      <c r="I27" s="16">
        <v>180</v>
      </c>
      <c r="J27" s="33">
        <f>I27*(1-$O$23)</f>
        <v>158.4</v>
      </c>
      <c r="K27" s="34">
        <f>IF(L27=0,"",J27/SUM(E9:G9))</f>
        <v>9.9000000000000005E-2</v>
      </c>
      <c r="L27" s="35">
        <v>1</v>
      </c>
      <c r="N27" s="22" t="s">
        <v>17</v>
      </c>
      <c r="O27" s="22">
        <f>IF(E39&lt;4000,1,0)</f>
        <v>0</v>
      </c>
    </row>
    <row r="28" spans="2:15" ht="15.6" x14ac:dyDescent="0.3">
      <c r="B28" s="36">
        <v>7</v>
      </c>
      <c r="C28" s="16" t="s">
        <v>15</v>
      </c>
      <c r="D28" s="17">
        <v>1</v>
      </c>
      <c r="E28" s="32">
        <f>$D$28*E10</f>
        <v>750</v>
      </c>
      <c r="F28" s="32">
        <f t="shared" ref="F28:G28" si="8">$D$28*F10</f>
        <v>750</v>
      </c>
      <c r="G28" s="32">
        <f t="shared" si="8"/>
        <v>300</v>
      </c>
      <c r="H28" s="32">
        <f t="shared" ref="H28:H30" si="9">SUM(E28:G28)</f>
        <v>1800</v>
      </c>
      <c r="I28" s="16">
        <v>410</v>
      </c>
      <c r="J28" s="33">
        <f>I28*(1-$O$23)</f>
        <v>360.8</v>
      </c>
      <c r="K28" s="34">
        <f>IF(L28=0,"",J28/SUM(E10:G10))</f>
        <v>0.20044444444444445</v>
      </c>
      <c r="L28" s="35">
        <v>1</v>
      </c>
      <c r="N28" s="22" t="s">
        <v>18</v>
      </c>
      <c r="O28" s="22">
        <f>IF(F39&lt;4000,1,0)</f>
        <v>1</v>
      </c>
    </row>
    <row r="29" spans="2:15" ht="15.6" x14ac:dyDescent="0.3">
      <c r="B29" s="36">
        <v>8</v>
      </c>
      <c r="C29" s="16" t="s">
        <v>15</v>
      </c>
      <c r="D29" s="17">
        <v>1</v>
      </c>
      <c r="E29" s="32">
        <f>$D$29*E11</f>
        <v>800</v>
      </c>
      <c r="F29" s="32">
        <f t="shared" ref="F29:G29" si="10">$D$29*F11</f>
        <v>700</v>
      </c>
      <c r="G29" s="32">
        <f t="shared" si="10"/>
        <v>600</v>
      </c>
      <c r="H29" s="32">
        <f t="shared" si="9"/>
        <v>2100</v>
      </c>
      <c r="I29" s="16">
        <v>280</v>
      </c>
      <c r="J29" s="33">
        <f>I29*(1-$O$23)</f>
        <v>246.4</v>
      </c>
      <c r="K29" s="34" t="str">
        <f>IF(L29=0,"",J29/SUM(E11:G11))</f>
        <v/>
      </c>
      <c r="L29" s="35">
        <v>0</v>
      </c>
      <c r="N29" s="22" t="s">
        <v>20</v>
      </c>
      <c r="O29" s="22">
        <f>IF(G39&lt;4000,1,0)</f>
        <v>1</v>
      </c>
    </row>
    <row r="30" spans="2:15" ht="15.6" x14ac:dyDescent="0.3">
      <c r="B30" s="36">
        <v>9</v>
      </c>
      <c r="C30" s="16" t="s">
        <v>15</v>
      </c>
      <c r="D30" s="17">
        <v>0.67</v>
      </c>
      <c r="E30" s="32">
        <f>$D$30*E12</f>
        <v>268</v>
      </c>
      <c r="F30" s="32">
        <f t="shared" ref="F30:G30" si="11">$D$30*F12</f>
        <v>402</v>
      </c>
      <c r="G30" s="32">
        <f t="shared" si="11"/>
        <v>536</v>
      </c>
      <c r="H30" s="32">
        <f t="shared" si="9"/>
        <v>1206</v>
      </c>
      <c r="I30" s="16">
        <v>380</v>
      </c>
      <c r="J30" s="33">
        <f>I30*(1-$O$23)</f>
        <v>334.4</v>
      </c>
      <c r="K30" s="34">
        <f>IF(L30=0,"",J30/SUM(E12:G12))</f>
        <v>0.18577777777777776</v>
      </c>
      <c r="L30" s="35">
        <v>1</v>
      </c>
      <c r="N30" s="22" t="s">
        <v>21</v>
      </c>
      <c r="O30" s="22">
        <f>IF(H39&lt;10000,1,0)</f>
        <v>0</v>
      </c>
    </row>
    <row r="31" spans="2:15" ht="15.6" x14ac:dyDescent="0.3">
      <c r="C31" s="48" t="s">
        <v>38</v>
      </c>
      <c r="E31" s="41">
        <f>SUMPRODUCT(E27:E30,$L$27:$L$30)</f>
        <v>1518</v>
      </c>
      <c r="F31" s="41">
        <f t="shared" ref="F31:H31" si="12">SUMPRODUCT(F27:F30,$L$27:$L$30)</f>
        <v>1302</v>
      </c>
      <c r="G31" s="41">
        <f t="shared" si="12"/>
        <v>986</v>
      </c>
      <c r="H31" s="41">
        <f t="shared" si="12"/>
        <v>3806</v>
      </c>
      <c r="N31" s="22" t="s">
        <v>22</v>
      </c>
      <c r="O31" s="22">
        <f>IF(AND(O32&gt;=1,O33&gt;=1,O34&gt;=1),1,0)</f>
        <v>1</v>
      </c>
    </row>
    <row r="32" spans="2:15" ht="15.6" x14ac:dyDescent="0.3">
      <c r="N32" s="22" t="s">
        <v>23</v>
      </c>
      <c r="O32" s="22">
        <f>SUM(L20:L24)</f>
        <v>4</v>
      </c>
    </row>
    <row r="33" spans="2:17" ht="15.6" x14ac:dyDescent="0.3">
      <c r="B33" s="36">
        <v>10</v>
      </c>
      <c r="C33" s="24" t="s">
        <v>19</v>
      </c>
      <c r="D33" s="25">
        <v>1</v>
      </c>
      <c r="E33" s="32">
        <f>$D$33*E13</f>
        <v>100</v>
      </c>
      <c r="F33" s="32">
        <f t="shared" ref="F33:G33" si="13">$D$33*F13</f>
        <v>200</v>
      </c>
      <c r="G33" s="32">
        <f t="shared" si="13"/>
        <v>400</v>
      </c>
      <c r="H33" s="32">
        <f>SUM(E33:G33)</f>
        <v>700</v>
      </c>
      <c r="I33" s="24">
        <v>100</v>
      </c>
      <c r="J33" s="33">
        <f>I33*(1-$O$23)</f>
        <v>88</v>
      </c>
      <c r="K33" s="34" t="str">
        <f>IF(L33=0,"",J33/SUM(E13:G13))</f>
        <v/>
      </c>
      <c r="L33" s="35">
        <v>0</v>
      </c>
      <c r="N33" s="22" t="s">
        <v>24</v>
      </c>
      <c r="O33" s="22">
        <f>SUM(L27:L30)</f>
        <v>3</v>
      </c>
    </row>
    <row r="34" spans="2:17" ht="15.6" x14ac:dyDescent="0.3">
      <c r="B34" s="36">
        <v>11</v>
      </c>
      <c r="C34" s="24" t="s">
        <v>19</v>
      </c>
      <c r="D34" s="25">
        <v>0.5</v>
      </c>
      <c r="E34" s="32">
        <f>$D$34*E14</f>
        <v>350</v>
      </c>
      <c r="F34" s="32">
        <f t="shared" ref="F34:G34" si="14">$D$34*F14</f>
        <v>250</v>
      </c>
      <c r="G34" s="32">
        <f t="shared" si="14"/>
        <v>150</v>
      </c>
      <c r="H34" s="32">
        <f t="shared" ref="H34:H35" si="15">SUM(E34:G34)</f>
        <v>750</v>
      </c>
      <c r="I34" s="24">
        <v>260</v>
      </c>
      <c r="J34" s="33">
        <f>I34*(1-$O$23)</f>
        <v>228.8</v>
      </c>
      <c r="K34" s="34">
        <f>IF(L34=0,"",J34/SUM(E14:G14))</f>
        <v>0.15253333333333335</v>
      </c>
      <c r="L34" s="35">
        <v>1</v>
      </c>
      <c r="N34" s="22" t="s">
        <v>26</v>
      </c>
      <c r="O34" s="22">
        <f>SUM(L33:L35)</f>
        <v>2</v>
      </c>
    </row>
    <row r="35" spans="2:17" ht="15.6" x14ac:dyDescent="0.3">
      <c r="B35" s="36">
        <v>12</v>
      </c>
      <c r="C35" s="24" t="s">
        <v>19</v>
      </c>
      <c r="D35" s="25">
        <v>1</v>
      </c>
      <c r="E35" s="32">
        <f>$D$35*E15</f>
        <v>1500</v>
      </c>
      <c r="F35" s="32">
        <f t="shared" ref="F35:G35" si="16">$D$35*F15</f>
        <v>400</v>
      </c>
      <c r="G35" s="32">
        <f t="shared" si="16"/>
        <v>400</v>
      </c>
      <c r="H35" s="32">
        <f t="shared" si="15"/>
        <v>2300</v>
      </c>
      <c r="I35" s="24">
        <v>340</v>
      </c>
      <c r="J35" s="33">
        <f>I35*(1-$O$23)</f>
        <v>299.2</v>
      </c>
      <c r="K35" s="34">
        <f>IF(L35=0,"",J35/SUM(E15:G15))</f>
        <v>0.13008695652173913</v>
      </c>
      <c r="L35" s="35">
        <v>1</v>
      </c>
      <c r="N35" s="22" t="s">
        <v>31</v>
      </c>
      <c r="O35" s="22">
        <f>SUM(O32:O34)</f>
        <v>9</v>
      </c>
    </row>
    <row r="36" spans="2:17" ht="15.6" x14ac:dyDescent="0.3">
      <c r="C36" s="48" t="s">
        <v>39</v>
      </c>
      <c r="E36" s="41">
        <f>SUMPRODUCT(E33:E35,$L$33:$L$35)</f>
        <v>1850</v>
      </c>
      <c r="F36" s="41">
        <f t="shared" ref="F36:H36" si="17">SUMPRODUCT(F33:F35,$L$33:$L$35)</f>
        <v>650</v>
      </c>
      <c r="G36" s="41">
        <f t="shared" si="17"/>
        <v>550</v>
      </c>
      <c r="H36" s="41">
        <f t="shared" si="17"/>
        <v>3050</v>
      </c>
    </row>
    <row r="37" spans="2:17" ht="15.6" x14ac:dyDescent="0.3">
      <c r="N37" s="4" t="s">
        <v>32</v>
      </c>
      <c r="O37" s="22">
        <f>IF(SUM(O27:O31)=5,1,0)</f>
        <v>0</v>
      </c>
    </row>
    <row r="38" spans="2:17" ht="15.6" x14ac:dyDescent="0.3">
      <c r="E38" s="4" t="s">
        <v>5</v>
      </c>
      <c r="F38" s="4" t="s">
        <v>6</v>
      </c>
      <c r="G38" s="4" t="s">
        <v>7</v>
      </c>
      <c r="H38" s="4" t="s">
        <v>27</v>
      </c>
      <c r="J38" s="42" t="s">
        <v>40</v>
      </c>
    </row>
    <row r="39" spans="2:17" x14ac:dyDescent="0.3">
      <c r="C39" s="43" t="s">
        <v>41</v>
      </c>
      <c r="E39" s="32">
        <f>SUMPRODUCT(E20:E24,$L$20:$L$24)+SUMPRODUCT(E27:E30,$L$27:$L$30)+SUMPRODUCT(E33:E35,$L$33:$L$35)</f>
        <v>4483</v>
      </c>
      <c r="F39" s="32">
        <f>SUMPRODUCT(F20:F24,$L$20:$L$24)+SUMPRODUCT(F27:F30,$L$27:$L$30)+SUMPRODUCT(F33:F35,$L$33:$L$35)</f>
        <v>2951</v>
      </c>
      <c r="G39" s="32">
        <f>SUMPRODUCT(G20:G24,$L$20:$L$24)+SUMPRODUCT(G27:G30,$L$27:$L$30)+SUMPRODUCT(G33:G35,$L$33:$L$35)</f>
        <v>2735</v>
      </c>
      <c r="H39" s="32">
        <f>SUM(E39:G39)</f>
        <v>10169</v>
      </c>
      <c r="J39" s="44">
        <f>SUMPRODUCT(J20:J35,L20:L35)</f>
        <v>2076.8000000000002</v>
      </c>
    </row>
    <row r="42" spans="2:17" x14ac:dyDescent="0.3">
      <c r="F42" s="43" t="s">
        <v>29</v>
      </c>
      <c r="G42" t="s">
        <v>42</v>
      </c>
    </row>
    <row r="43" spans="2:17" ht="15.6" x14ac:dyDescent="0.3">
      <c r="E43" s="45" t="s">
        <v>43</v>
      </c>
      <c r="F43" s="45" t="s">
        <v>44</v>
      </c>
      <c r="G43" s="45" t="s">
        <v>45</v>
      </c>
      <c r="H43" s="45" t="s">
        <v>46</v>
      </c>
      <c r="O43" s="66" t="s">
        <v>34</v>
      </c>
      <c r="P43" s="66"/>
      <c r="Q43" s="66"/>
    </row>
    <row r="44" spans="2:17" x14ac:dyDescent="0.3">
      <c r="E44" s="36"/>
      <c r="F44" s="46">
        <f>AVERAGE(K20:K35)</f>
        <v>0.14741107277049306</v>
      </c>
      <c r="G44" s="46">
        <f>MIN(K20:K35)</f>
        <v>9.9000000000000005E-2</v>
      </c>
      <c r="H44" s="46">
        <f>MAX(K20:K35)</f>
        <v>0.20044444444444445</v>
      </c>
      <c r="N44" s="39" t="s">
        <v>3</v>
      </c>
      <c r="O44" s="39" t="s">
        <v>35</v>
      </c>
      <c r="P44" s="39" t="s">
        <v>36</v>
      </c>
      <c r="Q44" s="39" t="s">
        <v>37</v>
      </c>
    </row>
    <row r="45" spans="2:17" x14ac:dyDescent="0.3">
      <c r="E45" s="47">
        <v>0</v>
      </c>
      <c r="F45" s="34">
        <f t="dataTable" ref="F45:H51" dt2D="0" dtr="0" r1="O23"/>
        <v>0.16751258269374214</v>
      </c>
      <c r="G45" s="34">
        <v>0.1125</v>
      </c>
      <c r="H45" s="34">
        <v>0.22777777777777777</v>
      </c>
      <c r="N45" s="36" t="s">
        <v>10</v>
      </c>
      <c r="O45" s="32">
        <f>E25</f>
        <v>1115</v>
      </c>
      <c r="P45" s="32">
        <f>F25</f>
        <v>999</v>
      </c>
      <c r="Q45" s="32">
        <f>G25</f>
        <v>1199</v>
      </c>
    </row>
    <row r="46" spans="2:17" x14ac:dyDescent="0.3">
      <c r="E46" s="47">
        <v>0.05</v>
      </c>
      <c r="F46" s="34">
        <v>0.15913695355905499</v>
      </c>
      <c r="G46" s="34">
        <v>0.106875</v>
      </c>
      <c r="H46" s="34">
        <v>0.21638888888888888</v>
      </c>
      <c r="N46" s="36" t="s">
        <v>15</v>
      </c>
      <c r="O46" s="40">
        <f>E31</f>
        <v>1518</v>
      </c>
      <c r="P46" s="40">
        <f>F31</f>
        <v>1302</v>
      </c>
      <c r="Q46" s="40">
        <f>G31</f>
        <v>986</v>
      </c>
    </row>
    <row r="47" spans="2:17" x14ac:dyDescent="0.3">
      <c r="E47" s="47">
        <v>0.1</v>
      </c>
      <c r="F47" s="34">
        <v>0.1507613244243679</v>
      </c>
      <c r="G47" s="34">
        <v>0.10125000000000001</v>
      </c>
      <c r="H47" s="34">
        <v>0.20499999999999999</v>
      </c>
      <c r="N47" s="36" t="s">
        <v>19</v>
      </c>
      <c r="O47" s="40">
        <f>E36</f>
        <v>1850</v>
      </c>
      <c r="P47" s="40">
        <f>F36</f>
        <v>650</v>
      </c>
      <c r="Q47" s="40">
        <f>G36</f>
        <v>550</v>
      </c>
    </row>
    <row r="48" spans="2:17" x14ac:dyDescent="0.3">
      <c r="E48" s="47">
        <v>0.15</v>
      </c>
      <c r="F48" s="34">
        <v>0.14238569528968081</v>
      </c>
      <c r="G48" s="34">
        <v>9.5625000000000002E-2</v>
      </c>
      <c r="H48" s="34">
        <v>0.19361111111111112</v>
      </c>
    </row>
    <row r="49" spans="5:8" x14ac:dyDescent="0.3">
      <c r="E49" s="47">
        <v>0.2</v>
      </c>
      <c r="F49" s="34">
        <v>0.1340100661549937</v>
      </c>
      <c r="G49" s="34">
        <v>0.09</v>
      </c>
      <c r="H49" s="34">
        <v>0.18222222222222223</v>
      </c>
    </row>
    <row r="50" spans="5:8" x14ac:dyDescent="0.3">
      <c r="E50" s="47">
        <v>0.25</v>
      </c>
      <c r="F50" s="34">
        <v>0.12563443702030658</v>
      </c>
      <c r="G50" s="34">
        <v>8.4375000000000006E-2</v>
      </c>
      <c r="H50" s="34">
        <v>0.17083333333333334</v>
      </c>
    </row>
    <row r="51" spans="5:8" x14ac:dyDescent="0.3">
      <c r="E51" s="47">
        <v>0.3</v>
      </c>
      <c r="F51" s="34">
        <v>0.11725880788561947</v>
      </c>
      <c r="G51" s="34">
        <v>7.8749999999999987E-2</v>
      </c>
      <c r="H51" s="34">
        <v>0.15944444444444444</v>
      </c>
    </row>
  </sheetData>
  <mergeCells count="5">
    <mergeCell ref="A1:M1"/>
    <mergeCell ref="N19:O19"/>
    <mergeCell ref="N26:O26"/>
    <mergeCell ref="C18:F18"/>
    <mergeCell ref="O43:Q43"/>
  </mergeCells>
  <conditionalFormatting sqref="E39">
    <cfRule type="cellIs" dxfId="35" priority="18" operator="greaterThan">
      <formula>4000</formula>
    </cfRule>
    <cfRule type="cellIs" dxfId="34" priority="19" operator="greaterThan">
      <formula>" $4,483 "</formula>
    </cfRule>
    <cfRule type="cellIs" dxfId="33" priority="20" operator="greaterThan">
      <formula>4000</formula>
    </cfRule>
    <cfRule type="cellIs" dxfId="32" priority="21" operator="greaterThan">
      <formula>" $4,000"</formula>
    </cfRule>
  </conditionalFormatting>
  <conditionalFormatting sqref="E39:G39">
    <cfRule type="cellIs" dxfId="31" priority="11" operator="lessThan">
      <formula>4000</formula>
    </cfRule>
    <cfRule type="cellIs" dxfId="30" priority="13" operator="greaterThan">
      <formula>4000</formula>
    </cfRule>
  </conditionalFormatting>
  <conditionalFormatting sqref="H39">
    <cfRule type="cellIs" dxfId="29" priority="9" operator="lessThan">
      <formula>10000</formula>
    </cfRule>
    <cfRule type="cellIs" dxfId="28" priority="10" operator="greaterThan">
      <formula>10000</formula>
    </cfRule>
  </conditionalFormatting>
  <conditionalFormatting sqref="O27:O31">
    <cfRule type="cellIs" dxfId="27" priority="3" operator="equal">
      <formula>1</formula>
    </cfRule>
    <cfRule type="cellIs" dxfId="26" priority="4" operator="equal">
      <formula>0</formula>
    </cfRule>
  </conditionalFormatting>
  <conditionalFormatting sqref="O37">
    <cfRule type="cellIs" dxfId="25" priority="1" operator="equal">
      <formula>1</formula>
    </cfRule>
    <cfRule type="cellIs" dxfId="24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AC54-7B8C-41E1-8A7C-834253858DF0}">
  <dimension ref="A1:U52"/>
  <sheetViews>
    <sheetView zoomScale="90" zoomScaleNormal="90" workbookViewId="0">
      <selection sqref="A1:M1"/>
    </sheetView>
  </sheetViews>
  <sheetFormatPr defaultRowHeight="14.4" x14ac:dyDescent="0.3"/>
  <cols>
    <col min="2" max="2" width="12.33203125" bestFit="1" customWidth="1"/>
    <col min="3" max="3" width="16.109375" bestFit="1" customWidth="1"/>
    <col min="4" max="4" width="15.21875" customWidth="1"/>
    <col min="5" max="7" width="13.109375" bestFit="1" customWidth="1"/>
    <col min="8" max="8" width="10.44140625" bestFit="1" customWidth="1"/>
    <col min="10" max="10" width="10.109375" bestFit="1" customWidth="1"/>
    <col min="12" max="12" width="16.5546875" bestFit="1" customWidth="1"/>
    <col min="14" max="14" width="37.5546875" customWidth="1"/>
    <col min="15" max="15" width="16.21875" customWidth="1"/>
  </cols>
  <sheetData>
    <row r="1" spans="1:21" ht="21" x14ac:dyDescent="0.4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U1" s="2"/>
    </row>
    <row r="2" spans="1:21" x14ac:dyDescent="0.3">
      <c r="A2" t="s">
        <v>1</v>
      </c>
      <c r="U2" s="2"/>
    </row>
    <row r="3" spans="1:21" ht="15.6" x14ac:dyDescent="0.3"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4" t="s">
        <v>8</v>
      </c>
      <c r="U3" s="2"/>
    </row>
    <row r="4" spans="1:21" ht="15.6" x14ac:dyDescent="0.3">
      <c r="B4" s="7">
        <v>1</v>
      </c>
      <c r="C4" s="8" t="s">
        <v>10</v>
      </c>
      <c r="D4" s="9">
        <v>1</v>
      </c>
      <c r="E4" s="10">
        <v>250</v>
      </c>
      <c r="F4" s="10">
        <v>100</v>
      </c>
      <c r="G4" s="11">
        <v>100</v>
      </c>
      <c r="H4" s="8">
        <v>60</v>
      </c>
    </row>
    <row r="5" spans="1:21" ht="15.6" x14ac:dyDescent="0.3">
      <c r="B5" s="7">
        <v>2</v>
      </c>
      <c r="C5" s="8" t="s">
        <v>10</v>
      </c>
      <c r="D5" s="9">
        <v>0.33</v>
      </c>
      <c r="E5" s="10">
        <v>500</v>
      </c>
      <c r="F5" s="10">
        <v>300</v>
      </c>
      <c r="G5" s="11">
        <v>300</v>
      </c>
      <c r="H5" s="8">
        <v>180</v>
      </c>
    </row>
    <row r="6" spans="1:21" ht="15.6" x14ac:dyDescent="0.3">
      <c r="B6" s="7">
        <v>3</v>
      </c>
      <c r="C6" s="8" t="s">
        <v>10</v>
      </c>
      <c r="D6" s="9">
        <v>0.5</v>
      </c>
      <c r="E6" s="10">
        <v>100</v>
      </c>
      <c r="F6" s="10">
        <v>200</v>
      </c>
      <c r="G6" s="11">
        <v>400</v>
      </c>
      <c r="H6" s="8">
        <v>80</v>
      </c>
    </row>
    <row r="7" spans="1:21" ht="15.6" x14ac:dyDescent="0.3">
      <c r="B7" s="7">
        <v>4</v>
      </c>
      <c r="C7" s="8" t="s">
        <v>10</v>
      </c>
      <c r="D7" s="9">
        <v>1</v>
      </c>
      <c r="E7" s="10">
        <v>750</v>
      </c>
      <c r="F7" s="10">
        <v>500</v>
      </c>
      <c r="G7" s="11">
        <v>300</v>
      </c>
      <c r="H7" s="8">
        <v>310</v>
      </c>
    </row>
    <row r="8" spans="1:21" ht="15.6" x14ac:dyDescent="0.3">
      <c r="B8" s="7">
        <v>5</v>
      </c>
      <c r="C8" s="8" t="s">
        <v>10</v>
      </c>
      <c r="D8" s="9">
        <v>0.75</v>
      </c>
      <c r="E8" s="10">
        <v>200</v>
      </c>
      <c r="F8" s="10">
        <v>400</v>
      </c>
      <c r="G8" s="11">
        <v>800</v>
      </c>
      <c r="H8" s="8">
        <v>220</v>
      </c>
    </row>
    <row r="9" spans="1:21" ht="15.6" x14ac:dyDescent="0.3">
      <c r="B9" s="15">
        <v>6</v>
      </c>
      <c r="C9" s="16" t="s">
        <v>15</v>
      </c>
      <c r="D9" s="17">
        <v>0.5</v>
      </c>
      <c r="E9" s="18">
        <v>1000</v>
      </c>
      <c r="F9" s="18">
        <v>300</v>
      </c>
      <c r="G9" s="19">
        <v>300</v>
      </c>
      <c r="H9" s="16">
        <v>180</v>
      </c>
    </row>
    <row r="10" spans="1:21" ht="15.6" x14ac:dyDescent="0.3">
      <c r="B10" s="15">
        <v>7</v>
      </c>
      <c r="C10" s="16" t="s">
        <v>15</v>
      </c>
      <c r="D10" s="17">
        <v>1</v>
      </c>
      <c r="E10" s="18">
        <v>750</v>
      </c>
      <c r="F10" s="18">
        <v>750</v>
      </c>
      <c r="G10" s="19">
        <v>300</v>
      </c>
      <c r="H10" s="16">
        <v>410</v>
      </c>
    </row>
    <row r="11" spans="1:21" ht="15.6" x14ac:dyDescent="0.3">
      <c r="B11" s="15">
        <v>8</v>
      </c>
      <c r="C11" s="16" t="s">
        <v>15</v>
      </c>
      <c r="D11" s="17">
        <v>1</v>
      </c>
      <c r="E11" s="18">
        <v>800</v>
      </c>
      <c r="F11" s="18">
        <v>700</v>
      </c>
      <c r="G11" s="19">
        <v>600</v>
      </c>
      <c r="H11" s="16">
        <v>280</v>
      </c>
    </row>
    <row r="12" spans="1:21" ht="15.6" x14ac:dyDescent="0.3">
      <c r="B12" s="15">
        <v>9</v>
      </c>
      <c r="C12" s="16" t="s">
        <v>15</v>
      </c>
      <c r="D12" s="17">
        <v>0.67</v>
      </c>
      <c r="E12" s="18">
        <v>400</v>
      </c>
      <c r="F12" s="18">
        <v>600</v>
      </c>
      <c r="G12" s="19">
        <v>800</v>
      </c>
      <c r="H12" s="16">
        <v>380</v>
      </c>
    </row>
    <row r="13" spans="1:21" ht="15.6" x14ac:dyDescent="0.3">
      <c r="B13" s="23">
        <v>10</v>
      </c>
      <c r="C13" s="24" t="s">
        <v>19</v>
      </c>
      <c r="D13" s="25">
        <v>1</v>
      </c>
      <c r="E13" s="26">
        <v>100</v>
      </c>
      <c r="F13" s="26">
        <v>200</v>
      </c>
      <c r="G13" s="27">
        <v>400</v>
      </c>
      <c r="H13" s="24">
        <v>100</v>
      </c>
    </row>
    <row r="14" spans="1:21" ht="15.6" x14ac:dyDescent="0.3">
      <c r="B14" s="23">
        <v>11</v>
      </c>
      <c r="C14" s="24" t="s">
        <v>19</v>
      </c>
      <c r="D14" s="25">
        <v>0.5</v>
      </c>
      <c r="E14" s="26">
        <v>700</v>
      </c>
      <c r="F14" s="26">
        <v>500</v>
      </c>
      <c r="G14" s="27">
        <v>300</v>
      </c>
      <c r="H14" s="24">
        <v>260</v>
      </c>
    </row>
    <row r="15" spans="1:21" ht="15.6" x14ac:dyDescent="0.3">
      <c r="B15" s="23">
        <v>12</v>
      </c>
      <c r="C15" s="24" t="s">
        <v>19</v>
      </c>
      <c r="D15" s="25">
        <v>1</v>
      </c>
      <c r="E15" s="26">
        <v>1500</v>
      </c>
      <c r="F15" s="26">
        <v>400</v>
      </c>
      <c r="G15" s="27">
        <v>400</v>
      </c>
      <c r="H15" s="24">
        <v>340</v>
      </c>
    </row>
    <row r="18" spans="2:20" ht="15.6" x14ac:dyDescent="0.3">
      <c r="C18" s="65" t="s">
        <v>25</v>
      </c>
      <c r="D18" s="65"/>
      <c r="E18" s="65"/>
      <c r="F18" s="65"/>
    </row>
    <row r="19" spans="2:20" ht="15.6" x14ac:dyDescent="0.3">
      <c r="B19" s="28" t="s">
        <v>2</v>
      </c>
      <c r="C19" s="29" t="s">
        <v>3</v>
      </c>
      <c r="D19" s="29" t="s">
        <v>4</v>
      </c>
      <c r="E19" s="4" t="s">
        <v>5</v>
      </c>
      <c r="F19" s="4" t="s">
        <v>6</v>
      </c>
      <c r="G19" s="4" t="s">
        <v>7</v>
      </c>
      <c r="H19" s="4" t="s">
        <v>27</v>
      </c>
      <c r="I19" s="4" t="s">
        <v>8</v>
      </c>
      <c r="J19" s="4" t="s">
        <v>28</v>
      </c>
      <c r="K19" s="4" t="s">
        <v>29</v>
      </c>
      <c r="L19" s="4" t="s">
        <v>30</v>
      </c>
      <c r="N19" s="6" t="s">
        <v>9</v>
      </c>
      <c r="O19" s="6"/>
    </row>
    <row r="20" spans="2:20" ht="15.6" x14ac:dyDescent="0.3">
      <c r="B20" s="30">
        <v>1</v>
      </c>
      <c r="C20" s="31" t="s">
        <v>10</v>
      </c>
      <c r="D20" s="9">
        <v>1</v>
      </c>
      <c r="E20" s="32">
        <f>$D$20*E4</f>
        <v>250</v>
      </c>
      <c r="F20" s="32">
        <f>$D$20*F4</f>
        <v>100</v>
      </c>
      <c r="G20" s="32">
        <f>$D$20*G4</f>
        <v>100</v>
      </c>
      <c r="H20" s="32">
        <f>SUM(E20:G20)</f>
        <v>450</v>
      </c>
      <c r="I20" s="8">
        <v>60</v>
      </c>
      <c r="J20" s="33">
        <f>I20*(1-$O$23)</f>
        <v>52.8</v>
      </c>
      <c r="K20" s="34" t="str">
        <f>IF(L20=0,"",J20/SUM(E4:G4))</f>
        <v/>
      </c>
      <c r="L20" s="35">
        <v>0</v>
      </c>
      <c r="N20" s="12" t="s">
        <v>11</v>
      </c>
      <c r="O20" s="13">
        <v>50000</v>
      </c>
    </row>
    <row r="21" spans="2:20" ht="15.6" x14ac:dyDescent="0.3">
      <c r="B21" s="30">
        <v>2</v>
      </c>
      <c r="C21" s="31" t="s">
        <v>10</v>
      </c>
      <c r="D21" s="9">
        <v>0.33</v>
      </c>
      <c r="E21" s="32">
        <f>$D$21*E5</f>
        <v>165</v>
      </c>
      <c r="F21" s="32">
        <f t="shared" ref="F21:G21" si="0">$D$21*F5</f>
        <v>99</v>
      </c>
      <c r="G21" s="32">
        <f t="shared" si="0"/>
        <v>99</v>
      </c>
      <c r="H21" s="32">
        <f t="shared" ref="H21:H24" si="1">SUM(E21:G21)</f>
        <v>363</v>
      </c>
      <c r="I21" s="8">
        <v>180</v>
      </c>
      <c r="J21" s="33">
        <f>I21*(1-$O$23)</f>
        <v>158.4</v>
      </c>
      <c r="K21" s="34">
        <f t="shared" ref="K21:K24" si="2">IF(L21=0,"",J21/SUM(E5:G5))</f>
        <v>0.14400000000000002</v>
      </c>
      <c r="L21" s="35">
        <v>1</v>
      </c>
      <c r="N21" s="12" t="s">
        <v>12</v>
      </c>
      <c r="O21" s="13">
        <v>10000</v>
      </c>
      <c r="T21" t="s">
        <v>47</v>
      </c>
    </row>
    <row r="22" spans="2:20" ht="15.6" x14ac:dyDescent="0.3">
      <c r="B22" s="30">
        <v>3</v>
      </c>
      <c r="C22" s="31" t="s">
        <v>10</v>
      </c>
      <c r="D22" s="9">
        <v>0.5</v>
      </c>
      <c r="E22" s="32">
        <f>$D$22*E6</f>
        <v>50</v>
      </c>
      <c r="F22" s="32">
        <f t="shared" ref="F22:G22" si="3">$D$22*F6</f>
        <v>100</v>
      </c>
      <c r="G22" s="32">
        <f t="shared" si="3"/>
        <v>200</v>
      </c>
      <c r="H22" s="32">
        <f t="shared" si="1"/>
        <v>350</v>
      </c>
      <c r="I22" s="8">
        <v>80</v>
      </c>
      <c r="J22" s="33">
        <f>I22*(1-$O$23)</f>
        <v>70.400000000000006</v>
      </c>
      <c r="K22" s="34">
        <f t="shared" si="2"/>
        <v>0.10057142857142858</v>
      </c>
      <c r="L22" s="35">
        <v>1</v>
      </c>
      <c r="N22" s="12" t="s">
        <v>13</v>
      </c>
      <c r="O22" s="13">
        <v>4000</v>
      </c>
    </row>
    <row r="23" spans="2:20" ht="15.6" x14ac:dyDescent="0.3">
      <c r="B23" s="30">
        <v>4</v>
      </c>
      <c r="C23" s="31" t="s">
        <v>10</v>
      </c>
      <c r="D23" s="9">
        <v>1</v>
      </c>
      <c r="E23" s="32">
        <f>$D$23*E7</f>
        <v>750</v>
      </c>
      <c r="F23" s="32">
        <f t="shared" ref="F23:G23" si="4">$D$23*F7</f>
        <v>500</v>
      </c>
      <c r="G23" s="32">
        <f t="shared" si="4"/>
        <v>300</v>
      </c>
      <c r="H23" s="32">
        <f t="shared" si="1"/>
        <v>1550</v>
      </c>
      <c r="I23" s="8">
        <v>310</v>
      </c>
      <c r="J23" s="33">
        <f>I23*(1-$O$23)</f>
        <v>272.8</v>
      </c>
      <c r="K23" s="34">
        <f t="shared" si="2"/>
        <v>0.17600000000000002</v>
      </c>
      <c r="L23" s="35">
        <v>1</v>
      </c>
      <c r="N23" s="12" t="s">
        <v>14</v>
      </c>
      <c r="O23" s="14">
        <v>0.12</v>
      </c>
    </row>
    <row r="24" spans="2:20" ht="15.6" x14ac:dyDescent="0.3">
      <c r="B24" s="30">
        <v>5</v>
      </c>
      <c r="C24" s="31" t="s">
        <v>10</v>
      </c>
      <c r="D24" s="9">
        <v>0.75</v>
      </c>
      <c r="E24" s="32">
        <f>$D$24*E8</f>
        <v>150</v>
      </c>
      <c r="F24" s="32">
        <f t="shared" ref="F24:G24" si="5">$D$24*F8</f>
        <v>300</v>
      </c>
      <c r="G24" s="32">
        <f t="shared" si="5"/>
        <v>600</v>
      </c>
      <c r="H24" s="32">
        <f t="shared" si="1"/>
        <v>1050</v>
      </c>
      <c r="I24" s="8">
        <v>220</v>
      </c>
      <c r="J24" s="33">
        <f>I24*(1-$O$23)</f>
        <v>193.6</v>
      </c>
      <c r="K24" s="34">
        <f t="shared" si="2"/>
        <v>0.13828571428571429</v>
      </c>
      <c r="L24" s="35">
        <v>1</v>
      </c>
    </row>
    <row r="25" spans="2:20" ht="15.6" x14ac:dyDescent="0.3">
      <c r="C25" s="37" t="s">
        <v>33</v>
      </c>
      <c r="E25" s="38">
        <f>SUMPRODUCT(E20:E24,$L$20:$L$24)</f>
        <v>1115</v>
      </c>
      <c r="F25" s="38">
        <f t="shared" ref="F25:H25" si="6">SUMPRODUCT(F20:F24,$L$20:$L$24)</f>
        <v>999</v>
      </c>
      <c r="G25" s="38">
        <f t="shared" si="6"/>
        <v>1199</v>
      </c>
      <c r="H25" s="38">
        <f t="shared" si="6"/>
        <v>3313</v>
      </c>
    </row>
    <row r="26" spans="2:20" ht="15.6" x14ac:dyDescent="0.3">
      <c r="N26" s="20" t="s">
        <v>16</v>
      </c>
      <c r="O26" s="21"/>
    </row>
    <row r="27" spans="2:20" ht="15.6" x14ac:dyDescent="0.3">
      <c r="B27" s="36">
        <v>6</v>
      </c>
      <c r="C27" s="16" t="s">
        <v>15</v>
      </c>
      <c r="D27" s="17">
        <v>0.5</v>
      </c>
      <c r="E27" s="32">
        <f>$D$27*E9</f>
        <v>500</v>
      </c>
      <c r="F27" s="32">
        <f t="shared" ref="F27:G27" si="7">$D$27*F9</f>
        <v>150</v>
      </c>
      <c r="G27" s="32">
        <f t="shared" si="7"/>
        <v>150</v>
      </c>
      <c r="H27" s="32">
        <f>SUM(E27:G27)</f>
        <v>800</v>
      </c>
      <c r="I27" s="16">
        <v>180</v>
      </c>
      <c r="J27" s="33">
        <f>I27*(1-$O$23)</f>
        <v>158.4</v>
      </c>
      <c r="K27" s="34">
        <f>IF(L27=0,"",J27/SUM(E9:G9))</f>
        <v>9.9000000000000005E-2</v>
      </c>
      <c r="L27" s="35">
        <v>1</v>
      </c>
      <c r="N27" s="22" t="s">
        <v>17</v>
      </c>
      <c r="O27" s="22">
        <f>IF(E39&lt;4000,1,0)</f>
        <v>1</v>
      </c>
    </row>
    <row r="28" spans="2:20" ht="15.6" x14ac:dyDescent="0.3">
      <c r="B28" s="36">
        <v>7</v>
      </c>
      <c r="C28" s="16" t="s">
        <v>15</v>
      </c>
      <c r="D28" s="17">
        <v>1</v>
      </c>
      <c r="E28" s="32">
        <f>$D$28*E10</f>
        <v>750</v>
      </c>
      <c r="F28" s="32">
        <f t="shared" ref="F28:G28" si="8">$D$28*F10</f>
        <v>750</v>
      </c>
      <c r="G28" s="32">
        <f t="shared" si="8"/>
        <v>300</v>
      </c>
      <c r="H28" s="32">
        <f t="shared" ref="H28:H30" si="9">SUM(E28:G28)</f>
        <v>1800</v>
      </c>
      <c r="I28" s="16">
        <v>410</v>
      </c>
      <c r="J28" s="33">
        <f>I28*(1-$O$23)</f>
        <v>360.8</v>
      </c>
      <c r="K28" s="34">
        <f>IF(L28=0,"",J28/SUM(E10:G10))</f>
        <v>0.20044444444444445</v>
      </c>
      <c r="L28" s="35">
        <v>1</v>
      </c>
      <c r="N28" s="22" t="s">
        <v>18</v>
      </c>
      <c r="O28" s="22">
        <f>IF(F39&lt;4000,1,0)</f>
        <v>1</v>
      </c>
    </row>
    <row r="29" spans="2:20" ht="15.6" x14ac:dyDescent="0.3">
      <c r="B29" s="36">
        <v>8</v>
      </c>
      <c r="C29" s="16" t="s">
        <v>15</v>
      </c>
      <c r="D29" s="17">
        <v>1</v>
      </c>
      <c r="E29" s="32">
        <f>$D$29*E11</f>
        <v>800</v>
      </c>
      <c r="F29" s="32">
        <f t="shared" ref="F29:G29" si="10">$D$29*F11</f>
        <v>700</v>
      </c>
      <c r="G29" s="32">
        <f t="shared" si="10"/>
        <v>600</v>
      </c>
      <c r="H29" s="32">
        <f t="shared" si="9"/>
        <v>2100</v>
      </c>
      <c r="I29" s="16">
        <v>280</v>
      </c>
      <c r="J29" s="33">
        <f>I29*(1-$O$23)</f>
        <v>246.4</v>
      </c>
      <c r="K29" s="34">
        <f>IF(L29=0,"",J29/SUM(E11:G11))</f>
        <v>0.11733333333333333</v>
      </c>
      <c r="L29" s="35">
        <v>1</v>
      </c>
      <c r="N29" s="22" t="s">
        <v>20</v>
      </c>
      <c r="O29" s="22">
        <f>IF(G39&lt;4000,1,0)</f>
        <v>1</v>
      </c>
    </row>
    <row r="30" spans="2:20" ht="15.6" x14ac:dyDescent="0.3">
      <c r="B30" s="36">
        <v>9</v>
      </c>
      <c r="C30" s="16" t="s">
        <v>15</v>
      </c>
      <c r="D30" s="17">
        <v>0.67</v>
      </c>
      <c r="E30" s="32">
        <f>$D$30*E12</f>
        <v>268</v>
      </c>
      <c r="F30" s="32">
        <f t="shared" ref="F30:G30" si="11">$D$30*F12</f>
        <v>402</v>
      </c>
      <c r="G30" s="32">
        <f t="shared" si="11"/>
        <v>536</v>
      </c>
      <c r="H30" s="32">
        <f t="shared" si="9"/>
        <v>1206</v>
      </c>
      <c r="I30" s="16">
        <v>380</v>
      </c>
      <c r="J30" s="33">
        <f>I30*(1-$O$23)</f>
        <v>334.4</v>
      </c>
      <c r="K30" s="34">
        <f>IF(L30=0,"",J30/SUM(E12:G12))</f>
        <v>0.18577777777777776</v>
      </c>
      <c r="L30" s="35">
        <v>1</v>
      </c>
      <c r="N30" s="22" t="s">
        <v>21</v>
      </c>
      <c r="O30" s="22">
        <f>IF(H39&lt;10000,1,0)</f>
        <v>1</v>
      </c>
    </row>
    <row r="31" spans="2:20" ht="15.6" x14ac:dyDescent="0.3">
      <c r="C31" s="37" t="s">
        <v>38</v>
      </c>
      <c r="E31" s="41">
        <f>SUMPRODUCT(E27:E30,$L$27:$L$30)</f>
        <v>2318</v>
      </c>
      <c r="F31" s="41">
        <f t="shared" ref="F31:H31" si="12">SUMPRODUCT(F27:F30,$L$27:$L$30)</f>
        <v>2002</v>
      </c>
      <c r="G31" s="41">
        <f t="shared" si="12"/>
        <v>1586</v>
      </c>
      <c r="H31" s="41">
        <f t="shared" si="12"/>
        <v>5906</v>
      </c>
      <c r="N31" s="22" t="s">
        <v>22</v>
      </c>
      <c r="O31" s="22">
        <f>IF(AND(O32&gt;=1,O33&gt;=1,O34&gt;=1),1,0)</f>
        <v>1</v>
      </c>
    </row>
    <row r="32" spans="2:20" ht="15.6" x14ac:dyDescent="0.3">
      <c r="N32" s="22" t="s">
        <v>23</v>
      </c>
      <c r="O32" s="22">
        <f>SUM(L20:L24)</f>
        <v>4</v>
      </c>
      <c r="P32" t="s">
        <v>48</v>
      </c>
      <c r="Q32">
        <v>1</v>
      </c>
    </row>
    <row r="33" spans="2:17" ht="15.6" x14ac:dyDescent="0.3">
      <c r="B33" s="36">
        <v>10</v>
      </c>
      <c r="C33" s="24" t="s">
        <v>19</v>
      </c>
      <c r="D33" s="25">
        <v>1</v>
      </c>
      <c r="E33" s="32">
        <f>$D$33*E13</f>
        <v>100</v>
      </c>
      <c r="F33" s="32">
        <f t="shared" ref="F33:G33" si="13">$D$33*F13</f>
        <v>200</v>
      </c>
      <c r="G33" s="32">
        <f t="shared" si="13"/>
        <v>400</v>
      </c>
      <c r="H33" s="32">
        <f>SUM(E33:G33)</f>
        <v>700</v>
      </c>
      <c r="I33" s="24">
        <v>100</v>
      </c>
      <c r="J33" s="33">
        <f>I33*(1-$O$23)</f>
        <v>88</v>
      </c>
      <c r="K33" s="34" t="str">
        <f>IF(L33=0,"",J33/SUM(E13:G13))</f>
        <v/>
      </c>
      <c r="L33" s="35">
        <v>0</v>
      </c>
      <c r="N33" s="22" t="s">
        <v>24</v>
      </c>
      <c r="O33" s="22">
        <f>SUM(L27:L30)</f>
        <v>4</v>
      </c>
      <c r="P33" t="s">
        <v>48</v>
      </c>
      <c r="Q33">
        <v>1</v>
      </c>
    </row>
    <row r="34" spans="2:17" ht="15.6" x14ac:dyDescent="0.3">
      <c r="B34" s="36">
        <v>11</v>
      </c>
      <c r="C34" s="24" t="s">
        <v>19</v>
      </c>
      <c r="D34" s="25">
        <v>0.5</v>
      </c>
      <c r="E34" s="32">
        <f>$D$34*E14</f>
        <v>350</v>
      </c>
      <c r="F34" s="32">
        <f t="shared" ref="F34:G34" si="14">$D$34*F14</f>
        <v>250</v>
      </c>
      <c r="G34" s="32">
        <f t="shared" si="14"/>
        <v>150</v>
      </c>
      <c r="H34" s="32">
        <f t="shared" ref="H34:H35" si="15">SUM(E34:G34)</f>
        <v>750</v>
      </c>
      <c r="I34" s="24">
        <v>260</v>
      </c>
      <c r="J34" s="33">
        <f>I34*(1-$O$23)</f>
        <v>228.8</v>
      </c>
      <c r="K34" s="34">
        <f>IF(L34=0,"",J34/SUM(E14:G14))</f>
        <v>0.15253333333333335</v>
      </c>
      <c r="L34" s="35">
        <v>1</v>
      </c>
      <c r="N34" s="22" t="s">
        <v>26</v>
      </c>
      <c r="O34" s="22">
        <f>SUM(L33:L35)</f>
        <v>1</v>
      </c>
      <c r="P34" t="s">
        <v>48</v>
      </c>
      <c r="Q34">
        <v>1</v>
      </c>
    </row>
    <row r="35" spans="2:17" ht="15.6" x14ac:dyDescent="0.3">
      <c r="B35" s="36">
        <v>12</v>
      </c>
      <c r="C35" s="24" t="s">
        <v>19</v>
      </c>
      <c r="D35" s="25">
        <v>1</v>
      </c>
      <c r="E35" s="32">
        <f>$D$35*E15</f>
        <v>1500</v>
      </c>
      <c r="F35" s="32">
        <f t="shared" ref="F35:G35" si="16">$D$35*F15</f>
        <v>400</v>
      </c>
      <c r="G35" s="32">
        <f t="shared" si="16"/>
        <v>400</v>
      </c>
      <c r="H35" s="32">
        <f t="shared" si="15"/>
        <v>2300</v>
      </c>
      <c r="I35" s="24">
        <v>340</v>
      </c>
      <c r="J35" s="33">
        <f>I35*(1-$O$23)</f>
        <v>299.2</v>
      </c>
      <c r="K35" s="34" t="str">
        <f>IF(L35=0,"",J35/SUM(E15:G15))</f>
        <v/>
      </c>
      <c r="L35" s="35">
        <v>0</v>
      </c>
      <c r="N35" s="22" t="s">
        <v>31</v>
      </c>
      <c r="O35" s="22">
        <f>SUM(O32:O34)</f>
        <v>9</v>
      </c>
      <c r="P35" t="s">
        <v>48</v>
      </c>
      <c r="Q35">
        <v>1</v>
      </c>
    </row>
    <row r="36" spans="2:17" ht="15.6" x14ac:dyDescent="0.3">
      <c r="C36" s="37" t="s">
        <v>39</v>
      </c>
      <c r="E36" s="41">
        <f>SUMPRODUCT(E33:E35,$L$33:$L$35)</f>
        <v>350</v>
      </c>
      <c r="F36" s="41">
        <f t="shared" ref="F36:H36" si="17">SUMPRODUCT(F33:F35,$L$33:$L$35)</f>
        <v>250</v>
      </c>
      <c r="G36" s="41">
        <f t="shared" si="17"/>
        <v>150</v>
      </c>
      <c r="H36" s="41">
        <f t="shared" si="17"/>
        <v>750</v>
      </c>
    </row>
    <row r="37" spans="2:17" ht="15.6" x14ac:dyDescent="0.3">
      <c r="N37" s="4" t="s">
        <v>32</v>
      </c>
      <c r="O37" s="22">
        <f>IF(SUM(O27:O31)=5,1,0)</f>
        <v>1</v>
      </c>
    </row>
    <row r="38" spans="2:17" ht="15.6" x14ac:dyDescent="0.3">
      <c r="E38" s="4" t="s">
        <v>5</v>
      </c>
      <c r="F38" s="4" t="s">
        <v>6</v>
      </c>
      <c r="G38" s="4" t="s">
        <v>7</v>
      </c>
      <c r="H38" s="4" t="s">
        <v>27</v>
      </c>
      <c r="J38" s="42" t="s">
        <v>40</v>
      </c>
    </row>
    <row r="39" spans="2:17" x14ac:dyDescent="0.3">
      <c r="C39" s="43" t="s">
        <v>41</v>
      </c>
      <c r="E39" s="32">
        <f>SUMPRODUCT(E20:E24,$L$20:$L$24)+SUMPRODUCT(E27:E30,$L$27:$L$30)+SUMPRODUCT(E33:E35,$L$33:$L$35)</f>
        <v>3783</v>
      </c>
      <c r="F39" s="32">
        <f>SUMPRODUCT(F20:F24,$L$20:$L$24)+SUMPRODUCT(F27:F30,$L$27:$L$30)+SUMPRODUCT(F33:F35,$L$33:$L$35)</f>
        <v>3251</v>
      </c>
      <c r="G39" s="32">
        <f>SUMPRODUCT(G20:G24,$L$20:$L$24)+SUMPRODUCT(G27:G30,$L$27:$L$30)+SUMPRODUCT(G33:G35,$L$33:$L$35)</f>
        <v>2935</v>
      </c>
      <c r="H39" s="32">
        <f>SUM(E39:G39)</f>
        <v>9969</v>
      </c>
      <c r="J39" s="44">
        <f>SUMPRODUCT(J20:J35,L20:L35)</f>
        <v>2024.0000000000002</v>
      </c>
    </row>
    <row r="40" spans="2:17" x14ac:dyDescent="0.3">
      <c r="E40" t="s">
        <v>49</v>
      </c>
      <c r="F40" t="s">
        <v>49</v>
      </c>
      <c r="G40" t="s">
        <v>49</v>
      </c>
      <c r="H40" t="s">
        <v>49</v>
      </c>
    </row>
    <row r="41" spans="2:17" x14ac:dyDescent="0.3">
      <c r="E41">
        <v>4000</v>
      </c>
      <c r="F41">
        <v>4000</v>
      </c>
      <c r="G41">
        <v>4000</v>
      </c>
      <c r="H41">
        <v>10000</v>
      </c>
    </row>
    <row r="43" spans="2:17" x14ac:dyDescent="0.3">
      <c r="F43" s="43" t="s">
        <v>29</v>
      </c>
      <c r="G43" t="s">
        <v>42</v>
      </c>
    </row>
    <row r="44" spans="2:17" ht="15.6" x14ac:dyDescent="0.3">
      <c r="E44" s="45" t="s">
        <v>43</v>
      </c>
      <c r="F44" s="45" t="s">
        <v>44</v>
      </c>
      <c r="G44" s="45" t="s">
        <v>45</v>
      </c>
      <c r="H44" s="45" t="s">
        <v>46</v>
      </c>
      <c r="O44" s="66" t="s">
        <v>34</v>
      </c>
      <c r="P44" s="66"/>
      <c r="Q44" s="66"/>
    </row>
    <row r="45" spans="2:17" x14ac:dyDescent="0.3">
      <c r="E45" s="36"/>
      <c r="F45" s="46">
        <f>AVERAGE(K20:K35)</f>
        <v>0.14599400352733688</v>
      </c>
      <c r="G45" s="46">
        <f>MIN(K20:K35)</f>
        <v>9.9000000000000005E-2</v>
      </c>
      <c r="H45" s="46">
        <f>MAX(K20:K35)</f>
        <v>0.20044444444444445</v>
      </c>
      <c r="N45" s="39" t="s">
        <v>3</v>
      </c>
      <c r="O45" s="39" t="s">
        <v>35</v>
      </c>
      <c r="P45" s="39" t="s">
        <v>36</v>
      </c>
      <c r="Q45" s="39" t="s">
        <v>37</v>
      </c>
    </row>
    <row r="46" spans="2:17" x14ac:dyDescent="0.3">
      <c r="E46" s="47">
        <v>0</v>
      </c>
      <c r="F46" s="34">
        <f t="dataTable" ref="F46:H52" dt2D="0" dtr="0" r1="O23"/>
        <v>0.16590227673561009</v>
      </c>
      <c r="G46" s="34">
        <v>0.1125</v>
      </c>
      <c r="H46" s="34">
        <v>0.22777777777777777</v>
      </c>
      <c r="N46" s="36" t="s">
        <v>10</v>
      </c>
      <c r="O46" s="32">
        <f>E25</f>
        <v>1115</v>
      </c>
      <c r="P46" s="32">
        <f>F25</f>
        <v>999</v>
      </c>
      <c r="Q46" s="32">
        <f>G25</f>
        <v>1199</v>
      </c>
    </row>
    <row r="47" spans="2:17" x14ac:dyDescent="0.3">
      <c r="E47" s="47">
        <v>0.05</v>
      </c>
      <c r="F47" s="34">
        <v>0.15760716289882956</v>
      </c>
      <c r="G47" s="34">
        <v>0.106875</v>
      </c>
      <c r="H47" s="34">
        <v>0.21638888888888888</v>
      </c>
      <c r="N47" s="36" t="s">
        <v>15</v>
      </c>
      <c r="O47" s="40">
        <f>E31</f>
        <v>2318</v>
      </c>
      <c r="P47" s="40">
        <f>F31</f>
        <v>2002</v>
      </c>
      <c r="Q47" s="40">
        <f>G31</f>
        <v>1586</v>
      </c>
    </row>
    <row r="48" spans="2:17" x14ac:dyDescent="0.3">
      <c r="E48" s="47">
        <v>0.1</v>
      </c>
      <c r="F48" s="34">
        <v>0.14931204906204906</v>
      </c>
      <c r="G48" s="34">
        <v>0.10125000000000001</v>
      </c>
      <c r="H48" s="34">
        <v>0.20499999999999999</v>
      </c>
      <c r="N48" s="36" t="s">
        <v>19</v>
      </c>
      <c r="O48" s="40">
        <f>E36</f>
        <v>350</v>
      </c>
      <c r="P48" s="40">
        <f>F36</f>
        <v>250</v>
      </c>
      <c r="Q48" s="40">
        <f>G36</f>
        <v>150</v>
      </c>
    </row>
    <row r="49" spans="5:8" x14ac:dyDescent="0.3">
      <c r="E49" s="47">
        <v>0.15</v>
      </c>
      <c r="F49" s="34">
        <v>0.14101693522526856</v>
      </c>
      <c r="G49" s="34">
        <v>9.5625000000000002E-2</v>
      </c>
      <c r="H49" s="34">
        <v>0.19361111111111112</v>
      </c>
    </row>
    <row r="50" spans="5:8" x14ac:dyDescent="0.3">
      <c r="E50" s="47">
        <v>0.2</v>
      </c>
      <c r="F50" s="34">
        <v>0.13272182138848806</v>
      </c>
      <c r="G50" s="34">
        <v>0.09</v>
      </c>
      <c r="H50" s="34">
        <v>0.18222222222222223</v>
      </c>
    </row>
    <row r="51" spans="5:8" x14ac:dyDescent="0.3">
      <c r="E51" s="47">
        <v>0.25</v>
      </c>
      <c r="F51" s="34">
        <v>0.12442670755170754</v>
      </c>
      <c r="G51" s="34">
        <v>8.4375000000000006E-2</v>
      </c>
      <c r="H51" s="34">
        <v>0.17083333333333334</v>
      </c>
    </row>
    <row r="52" spans="5:8" x14ac:dyDescent="0.3">
      <c r="E52" s="47">
        <v>0.3</v>
      </c>
      <c r="F52" s="34">
        <v>0.11613159371492705</v>
      </c>
      <c r="G52" s="34">
        <v>7.8749999999999987E-2</v>
      </c>
      <c r="H52" s="34">
        <v>0.15944444444444444</v>
      </c>
    </row>
  </sheetData>
  <mergeCells count="3">
    <mergeCell ref="A1:M1"/>
    <mergeCell ref="C18:F18"/>
    <mergeCell ref="O44:Q44"/>
  </mergeCells>
  <conditionalFormatting sqref="E39">
    <cfRule type="cellIs" dxfId="23" priority="14" operator="greaterThan">
      <formula>4000</formula>
    </cfRule>
    <cfRule type="cellIs" dxfId="22" priority="15" operator="greaterThan">
      <formula>" $4,483 "</formula>
    </cfRule>
    <cfRule type="cellIs" dxfId="21" priority="16" operator="greaterThan">
      <formula>4000</formula>
    </cfRule>
    <cfRule type="cellIs" dxfId="20" priority="17" operator="greaterThan">
      <formula>" $4,000"</formula>
    </cfRule>
  </conditionalFormatting>
  <conditionalFormatting sqref="E39:G39">
    <cfRule type="cellIs" dxfId="19" priority="7" operator="lessThan">
      <formula>4000</formula>
    </cfRule>
    <cfRule type="cellIs" dxfId="18" priority="9" operator="greaterThan">
      <formula>4000</formula>
    </cfRule>
  </conditionalFormatting>
  <conditionalFormatting sqref="H39">
    <cfRule type="cellIs" dxfId="17" priority="5" operator="lessThan">
      <formula>10000</formula>
    </cfRule>
    <cfRule type="cellIs" dxfId="16" priority="6" operator="greaterThan">
      <formula>10000</formula>
    </cfRule>
  </conditionalFormatting>
  <conditionalFormatting sqref="O27:O31">
    <cfRule type="cellIs" dxfId="15" priority="3" operator="equal">
      <formula>1</formula>
    </cfRule>
    <cfRule type="cellIs" dxfId="14" priority="4" operator="equal">
      <formula>0</formula>
    </cfRule>
  </conditionalFormatting>
  <conditionalFormatting sqref="O37">
    <cfRule type="cellIs" dxfId="13" priority="1" operator="equal">
      <formula>1</formula>
    </cfRule>
    <cfRule type="cellIs" dxfId="12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1570-DA96-46E0-8218-4BB54C7DF8B7}">
  <dimension ref="A1:AG52"/>
  <sheetViews>
    <sheetView tabSelected="1" zoomScale="80" zoomScaleNormal="80" workbookViewId="0">
      <selection sqref="A1:M1"/>
    </sheetView>
  </sheetViews>
  <sheetFormatPr defaultRowHeight="14.4" x14ac:dyDescent="0.3"/>
  <cols>
    <col min="2" max="2" width="16.77734375" customWidth="1"/>
    <col min="3" max="3" width="16.109375" bestFit="1" customWidth="1"/>
    <col min="4" max="4" width="15.21875" customWidth="1"/>
    <col min="5" max="7" width="13.109375" bestFit="1" customWidth="1"/>
    <col min="8" max="8" width="14.33203125" bestFit="1" customWidth="1"/>
    <col min="10" max="10" width="10.109375" bestFit="1" customWidth="1"/>
    <col min="12" max="12" width="16.5546875" bestFit="1" customWidth="1"/>
    <col min="13" max="13" width="14.44140625" customWidth="1"/>
    <col min="15" max="15" width="26.6640625" customWidth="1"/>
    <col min="16" max="16" width="16.21875" customWidth="1"/>
    <col min="22" max="22" width="14.44140625" customWidth="1"/>
  </cols>
  <sheetData>
    <row r="1" spans="1:30" ht="21" x14ac:dyDescent="0.4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1"/>
      <c r="W1" s="2"/>
    </row>
    <row r="2" spans="1:30" x14ac:dyDescent="0.3">
      <c r="A2" t="s">
        <v>1</v>
      </c>
      <c r="U2" t="s">
        <v>1</v>
      </c>
      <c r="V2" s="43" t="s">
        <v>51</v>
      </c>
    </row>
    <row r="3" spans="1:30" ht="15.6" x14ac:dyDescent="0.3"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4" t="s">
        <v>8</v>
      </c>
      <c r="W3" s="56" t="s">
        <v>52</v>
      </c>
      <c r="X3" s="56"/>
      <c r="Y3" s="56"/>
      <c r="Z3" s="56"/>
      <c r="AA3" s="56"/>
      <c r="AB3" s="56"/>
      <c r="AC3" s="56"/>
      <c r="AD3" s="56"/>
    </row>
    <row r="4" spans="1:30" ht="15.6" x14ac:dyDescent="0.3">
      <c r="B4" s="7">
        <v>1</v>
      </c>
      <c r="C4" s="8" t="s">
        <v>10</v>
      </c>
      <c r="D4" s="9">
        <v>1</v>
      </c>
      <c r="E4" s="10">
        <v>250</v>
      </c>
      <c r="F4" s="10">
        <v>100</v>
      </c>
      <c r="G4" s="11">
        <v>100</v>
      </c>
      <c r="H4" s="8">
        <v>60</v>
      </c>
      <c r="V4" s="36"/>
      <c r="W4" s="49">
        <v>1</v>
      </c>
      <c r="X4" s="36">
        <v>2</v>
      </c>
      <c r="Y4" s="36">
        <v>3</v>
      </c>
      <c r="Z4" s="36">
        <v>4</v>
      </c>
      <c r="AA4" s="36">
        <v>5</v>
      </c>
      <c r="AB4" s="36">
        <v>6</v>
      </c>
      <c r="AC4" s="36">
        <v>7</v>
      </c>
      <c r="AD4" s="36">
        <v>8</v>
      </c>
    </row>
    <row r="5" spans="1:30" ht="15.6" x14ac:dyDescent="0.3">
      <c r="B5" s="7">
        <v>2</v>
      </c>
      <c r="C5" s="8" t="s">
        <v>10</v>
      </c>
      <c r="D5" s="9">
        <v>0.33</v>
      </c>
      <c r="E5" s="10">
        <v>500</v>
      </c>
      <c r="F5" s="10">
        <v>300</v>
      </c>
      <c r="G5" s="11">
        <v>300</v>
      </c>
      <c r="H5" s="8">
        <v>180</v>
      </c>
      <c r="V5" s="36" t="s">
        <v>53</v>
      </c>
      <c r="W5" s="52">
        <v>1</v>
      </c>
      <c r="X5" s="52">
        <v>1</v>
      </c>
      <c r="Y5" s="52">
        <v>1</v>
      </c>
      <c r="Z5" s="52">
        <v>1</v>
      </c>
      <c r="AA5" s="52">
        <v>1</v>
      </c>
      <c r="AB5" s="52">
        <v>0</v>
      </c>
      <c r="AC5" s="52">
        <v>0</v>
      </c>
      <c r="AD5" s="52">
        <v>0</v>
      </c>
    </row>
    <row r="6" spans="1:30" ht="15.6" x14ac:dyDescent="0.3">
      <c r="B6" s="7">
        <v>3</v>
      </c>
      <c r="C6" s="8" t="s">
        <v>10</v>
      </c>
      <c r="D6" s="9">
        <v>0.5</v>
      </c>
      <c r="E6" s="10">
        <v>100</v>
      </c>
      <c r="F6" s="10">
        <v>200</v>
      </c>
      <c r="G6" s="11">
        <v>400</v>
      </c>
      <c r="H6" s="8">
        <v>80</v>
      </c>
      <c r="V6" s="36" t="s">
        <v>54</v>
      </c>
      <c r="W6" s="52">
        <v>1</v>
      </c>
      <c r="X6" s="52">
        <v>1</v>
      </c>
      <c r="Y6" s="52">
        <v>1</v>
      </c>
      <c r="Z6" s="52">
        <v>1</v>
      </c>
      <c r="AA6" s="52">
        <v>0</v>
      </c>
      <c r="AB6" s="52">
        <v>1</v>
      </c>
      <c r="AC6" s="52">
        <v>0</v>
      </c>
      <c r="AD6" s="52">
        <v>1</v>
      </c>
    </row>
    <row r="7" spans="1:30" ht="15.6" x14ac:dyDescent="0.3">
      <c r="B7" s="7">
        <v>4</v>
      </c>
      <c r="C7" s="8" t="s">
        <v>10</v>
      </c>
      <c r="D7" s="9">
        <v>1</v>
      </c>
      <c r="E7" s="10">
        <v>750</v>
      </c>
      <c r="F7" s="10">
        <v>500</v>
      </c>
      <c r="G7" s="11">
        <v>300</v>
      </c>
      <c r="H7" s="8">
        <v>310</v>
      </c>
      <c r="V7" s="36" t="s">
        <v>55</v>
      </c>
      <c r="W7" s="52">
        <v>1</v>
      </c>
      <c r="X7" s="52">
        <v>0</v>
      </c>
      <c r="Y7" s="52">
        <v>0</v>
      </c>
      <c r="Z7" s="52">
        <v>1</v>
      </c>
      <c r="AA7" s="52">
        <v>1</v>
      </c>
      <c r="AB7" s="52">
        <v>1</v>
      </c>
      <c r="AC7" s="52">
        <v>0</v>
      </c>
      <c r="AD7" s="52">
        <v>1</v>
      </c>
    </row>
    <row r="8" spans="1:30" ht="15.6" x14ac:dyDescent="0.3">
      <c r="B8" s="7">
        <v>5</v>
      </c>
      <c r="C8" s="8" t="s">
        <v>10</v>
      </c>
      <c r="D8" s="9">
        <v>0.75</v>
      </c>
      <c r="E8" s="10">
        <v>200</v>
      </c>
      <c r="F8" s="10">
        <v>400</v>
      </c>
      <c r="G8" s="11">
        <v>800</v>
      </c>
      <c r="H8" s="8">
        <v>220</v>
      </c>
      <c r="V8" s="36" t="s">
        <v>56</v>
      </c>
      <c r="W8" s="52">
        <v>0</v>
      </c>
      <c r="X8" s="52">
        <v>1</v>
      </c>
      <c r="Y8" s="52">
        <v>0</v>
      </c>
      <c r="Z8" s="52">
        <v>0</v>
      </c>
      <c r="AA8" s="52">
        <v>1</v>
      </c>
      <c r="AB8" s="52">
        <v>1</v>
      </c>
      <c r="AC8" s="52">
        <v>1</v>
      </c>
      <c r="AD8" s="52">
        <v>1</v>
      </c>
    </row>
    <row r="9" spans="1:30" ht="15.6" x14ac:dyDescent="0.3">
      <c r="B9" s="15">
        <v>6</v>
      </c>
      <c r="C9" s="16" t="s">
        <v>15</v>
      </c>
      <c r="D9" s="17">
        <v>0.5</v>
      </c>
      <c r="E9" s="18">
        <v>1000</v>
      </c>
      <c r="F9" s="18">
        <v>300</v>
      </c>
      <c r="G9" s="19">
        <v>300</v>
      </c>
      <c r="H9" s="16">
        <v>180</v>
      </c>
      <c r="V9" s="36" t="s">
        <v>57</v>
      </c>
      <c r="W9" s="52">
        <v>1</v>
      </c>
      <c r="X9" s="52">
        <v>1</v>
      </c>
      <c r="Y9" s="52">
        <v>1</v>
      </c>
      <c r="Z9" s="52">
        <v>1</v>
      </c>
      <c r="AA9" s="52">
        <v>1</v>
      </c>
      <c r="AB9" s="52">
        <v>1</v>
      </c>
      <c r="AC9" s="52">
        <v>1</v>
      </c>
      <c r="AD9" s="52">
        <v>0</v>
      </c>
    </row>
    <row r="10" spans="1:30" ht="15.6" x14ac:dyDescent="0.3">
      <c r="B10" s="15">
        <v>7</v>
      </c>
      <c r="C10" s="16" t="s">
        <v>15</v>
      </c>
      <c r="D10" s="17">
        <v>1</v>
      </c>
      <c r="E10" s="18">
        <v>750</v>
      </c>
      <c r="F10" s="18">
        <v>750</v>
      </c>
      <c r="G10" s="19">
        <v>300</v>
      </c>
      <c r="H10" s="16">
        <v>410</v>
      </c>
      <c r="V10" s="36" t="s">
        <v>58</v>
      </c>
      <c r="W10" s="52">
        <v>1</v>
      </c>
      <c r="X10" s="52">
        <v>1</v>
      </c>
      <c r="Y10" s="52">
        <v>1</v>
      </c>
      <c r="Z10" s="52">
        <v>1</v>
      </c>
      <c r="AA10" s="52">
        <v>1</v>
      </c>
      <c r="AB10" s="52">
        <v>1</v>
      </c>
      <c r="AC10" s="52">
        <v>1</v>
      </c>
      <c r="AD10" s="52">
        <v>1</v>
      </c>
    </row>
    <row r="11" spans="1:30" ht="15.6" x14ac:dyDescent="0.3">
      <c r="B11" s="15">
        <v>8</v>
      </c>
      <c r="C11" s="16" t="s">
        <v>15</v>
      </c>
      <c r="D11" s="17">
        <v>1</v>
      </c>
      <c r="E11" s="18">
        <v>800</v>
      </c>
      <c r="F11" s="18">
        <v>700</v>
      </c>
      <c r="G11" s="19">
        <v>600</v>
      </c>
      <c r="H11" s="16">
        <v>280</v>
      </c>
      <c r="V11" s="36" t="s">
        <v>60</v>
      </c>
      <c r="W11" s="52">
        <v>1</v>
      </c>
      <c r="X11" s="52">
        <v>1</v>
      </c>
      <c r="Y11" s="52">
        <v>1</v>
      </c>
      <c r="Z11" s="52">
        <v>1</v>
      </c>
      <c r="AA11" s="52">
        <v>1</v>
      </c>
      <c r="AB11" s="52">
        <v>1</v>
      </c>
      <c r="AC11" s="52">
        <v>0</v>
      </c>
      <c r="AD11" s="52">
        <v>1</v>
      </c>
    </row>
    <row r="12" spans="1:30" ht="15.6" x14ac:dyDescent="0.3">
      <c r="B12" s="15">
        <v>9</v>
      </c>
      <c r="C12" s="16" t="s">
        <v>15</v>
      </c>
      <c r="D12" s="17">
        <v>0.67</v>
      </c>
      <c r="E12" s="18">
        <v>400</v>
      </c>
      <c r="F12" s="18">
        <v>600</v>
      </c>
      <c r="G12" s="19">
        <v>800</v>
      </c>
      <c r="H12" s="16">
        <v>380</v>
      </c>
      <c r="V12" s="36" t="s">
        <v>61</v>
      </c>
      <c r="W12" s="52">
        <v>1</v>
      </c>
      <c r="X12" s="52">
        <v>1</v>
      </c>
      <c r="Y12" s="52">
        <v>1</v>
      </c>
      <c r="Z12" s="52">
        <v>1</v>
      </c>
      <c r="AA12" s="52">
        <v>0</v>
      </c>
      <c r="AB12" s="52">
        <v>1</v>
      </c>
      <c r="AC12" s="52">
        <v>1</v>
      </c>
      <c r="AD12" s="52">
        <v>0</v>
      </c>
    </row>
    <row r="13" spans="1:30" ht="15.6" x14ac:dyDescent="0.3">
      <c r="B13" s="23">
        <v>10</v>
      </c>
      <c r="C13" s="24" t="s">
        <v>19</v>
      </c>
      <c r="D13" s="25">
        <v>1</v>
      </c>
      <c r="E13" s="26">
        <v>100</v>
      </c>
      <c r="F13" s="26">
        <v>200</v>
      </c>
      <c r="G13" s="27">
        <v>400</v>
      </c>
      <c r="H13" s="24">
        <v>100</v>
      </c>
      <c r="V13" s="36" t="s">
        <v>62</v>
      </c>
      <c r="W13" s="52">
        <v>1</v>
      </c>
      <c r="X13" s="52">
        <v>1</v>
      </c>
      <c r="Y13" s="52">
        <v>1</v>
      </c>
      <c r="Z13" s="52">
        <v>1</v>
      </c>
      <c r="AA13" s="52">
        <v>0</v>
      </c>
      <c r="AB13" s="52">
        <v>0</v>
      </c>
      <c r="AC13" s="52">
        <v>0</v>
      </c>
      <c r="AD13" s="52">
        <v>1</v>
      </c>
    </row>
    <row r="14" spans="1:30" ht="15.6" x14ac:dyDescent="0.3">
      <c r="B14" s="23">
        <v>11</v>
      </c>
      <c r="C14" s="24" t="s">
        <v>19</v>
      </c>
      <c r="D14" s="25">
        <v>0.5</v>
      </c>
      <c r="E14" s="26">
        <v>700</v>
      </c>
      <c r="F14" s="26">
        <v>500</v>
      </c>
      <c r="G14" s="27">
        <v>300</v>
      </c>
      <c r="H14" s="24">
        <v>260</v>
      </c>
      <c r="V14" s="36" t="s">
        <v>63</v>
      </c>
      <c r="W14" s="52">
        <v>1</v>
      </c>
      <c r="X14" s="52">
        <v>1</v>
      </c>
      <c r="Y14" s="52">
        <v>1</v>
      </c>
      <c r="Z14" s="52">
        <v>1</v>
      </c>
      <c r="AA14" s="52">
        <v>0</v>
      </c>
      <c r="AB14" s="52">
        <v>1</v>
      </c>
      <c r="AC14" s="52">
        <v>1</v>
      </c>
      <c r="AD14" s="52">
        <v>1</v>
      </c>
    </row>
    <row r="15" spans="1:30" ht="15.6" x14ac:dyDescent="0.3">
      <c r="B15" s="23">
        <v>12</v>
      </c>
      <c r="C15" s="24" t="s">
        <v>19</v>
      </c>
      <c r="D15" s="25">
        <v>1</v>
      </c>
      <c r="E15" s="26">
        <v>1500</v>
      </c>
      <c r="F15" s="26">
        <v>400</v>
      </c>
      <c r="G15" s="27">
        <v>400</v>
      </c>
      <c r="H15" s="24">
        <v>340</v>
      </c>
      <c r="V15" s="36" t="s">
        <v>64</v>
      </c>
      <c r="W15" s="52">
        <v>1</v>
      </c>
      <c r="X15" s="52">
        <v>1</v>
      </c>
      <c r="Y15" s="52">
        <v>1</v>
      </c>
      <c r="Z15" s="52">
        <v>1</v>
      </c>
      <c r="AA15" s="52">
        <v>1</v>
      </c>
      <c r="AB15" s="52">
        <v>1</v>
      </c>
      <c r="AC15" s="52">
        <v>0</v>
      </c>
      <c r="AD15" s="52">
        <v>1</v>
      </c>
    </row>
    <row r="16" spans="1:30" x14ac:dyDescent="0.3">
      <c r="V16" s="36" t="s">
        <v>65</v>
      </c>
      <c r="W16" s="52">
        <v>0</v>
      </c>
      <c r="X16" s="52">
        <v>0</v>
      </c>
      <c r="Y16" s="52">
        <v>0</v>
      </c>
      <c r="Z16" s="52">
        <v>1</v>
      </c>
      <c r="AA16" s="52">
        <v>1</v>
      </c>
      <c r="AB16" s="52">
        <v>0</v>
      </c>
      <c r="AC16" s="52">
        <v>1</v>
      </c>
      <c r="AD16" s="52">
        <v>1</v>
      </c>
    </row>
    <row r="18" spans="2:22" ht="15.6" x14ac:dyDescent="0.3">
      <c r="C18" s="65" t="s">
        <v>25</v>
      </c>
      <c r="D18" s="65"/>
      <c r="E18" s="65"/>
      <c r="F18" s="65"/>
    </row>
    <row r="19" spans="2:22" ht="31.2" x14ac:dyDescent="0.3">
      <c r="B19" s="28" t="s">
        <v>2</v>
      </c>
      <c r="C19" s="29" t="s">
        <v>3</v>
      </c>
      <c r="D19" s="29" t="s">
        <v>4</v>
      </c>
      <c r="E19" s="4" t="s">
        <v>5</v>
      </c>
      <c r="F19" s="4" t="s">
        <v>6</v>
      </c>
      <c r="G19" s="4" t="s">
        <v>7</v>
      </c>
      <c r="H19" s="4" t="s">
        <v>27</v>
      </c>
      <c r="I19" s="4" t="s">
        <v>8</v>
      </c>
      <c r="J19" s="4" t="s">
        <v>28</v>
      </c>
      <c r="K19" s="4" t="s">
        <v>29</v>
      </c>
      <c r="L19" s="4" t="s">
        <v>30</v>
      </c>
      <c r="M19" s="55" t="s">
        <v>59</v>
      </c>
      <c r="O19" s="62" t="s">
        <v>9</v>
      </c>
      <c r="P19" s="62"/>
    </row>
    <row r="20" spans="2:22" ht="15.6" x14ac:dyDescent="0.3">
      <c r="B20" s="30">
        <v>1</v>
      </c>
      <c r="C20" s="31" t="s">
        <v>10</v>
      </c>
      <c r="D20" s="9">
        <v>1</v>
      </c>
      <c r="E20" s="32">
        <f>$D$20*E4</f>
        <v>250</v>
      </c>
      <c r="F20" s="32">
        <f>$D$20*F4</f>
        <v>100</v>
      </c>
      <c r="G20" s="32">
        <f>$D$20*G4</f>
        <v>100</v>
      </c>
      <c r="H20" s="32">
        <f>SUM(E20:G20)</f>
        <v>450</v>
      </c>
      <c r="I20" s="8">
        <v>60</v>
      </c>
      <c r="J20" s="33">
        <f>I20*(1-$P$23)</f>
        <v>52.8</v>
      </c>
      <c r="K20" s="34" t="str">
        <f>IF(L20=0,"",J20/SUM(E4:G4))</f>
        <v/>
      </c>
      <c r="L20" s="35">
        <v>0</v>
      </c>
      <c r="M20" s="36" t="e">
        <f>MATCH(1,W36:AD36,0)</f>
        <v>#N/A</v>
      </c>
      <c r="O20" s="54" t="s">
        <v>11</v>
      </c>
      <c r="P20" s="13">
        <v>50000</v>
      </c>
    </row>
    <row r="21" spans="2:22" ht="15.6" x14ac:dyDescent="0.3">
      <c r="B21" s="30">
        <v>2</v>
      </c>
      <c r="C21" s="31" t="s">
        <v>10</v>
      </c>
      <c r="D21" s="9">
        <v>0.33</v>
      </c>
      <c r="E21" s="32">
        <f>$D$21*E5</f>
        <v>165</v>
      </c>
      <c r="F21" s="32">
        <f t="shared" ref="F21:G21" si="0">$D$21*F5</f>
        <v>99</v>
      </c>
      <c r="G21" s="32">
        <f t="shared" si="0"/>
        <v>99</v>
      </c>
      <c r="H21" s="32">
        <f t="shared" ref="H21:H24" si="1">SUM(E21:G21)</f>
        <v>363</v>
      </c>
      <c r="I21" s="8">
        <v>180</v>
      </c>
      <c r="J21" s="33">
        <f>I21*(1-$P$23)</f>
        <v>158.4</v>
      </c>
      <c r="K21" s="34">
        <f t="shared" ref="K21:K24" si="2">IF(L21=0,"",J21/SUM(E5:G5))</f>
        <v>0.14400000000000002</v>
      </c>
      <c r="L21" s="35">
        <v>1</v>
      </c>
      <c r="M21" s="36">
        <f>MATCH(1,W37:AD37,0)</f>
        <v>4</v>
      </c>
      <c r="O21" s="54" t="s">
        <v>12</v>
      </c>
      <c r="P21" s="13">
        <v>10000</v>
      </c>
    </row>
    <row r="22" spans="2:22" ht="15.6" x14ac:dyDescent="0.3">
      <c r="B22" s="30">
        <v>3</v>
      </c>
      <c r="C22" s="31" t="s">
        <v>10</v>
      </c>
      <c r="D22" s="9">
        <v>0.5</v>
      </c>
      <c r="E22" s="32">
        <f>$D$22*E6</f>
        <v>50</v>
      </c>
      <c r="F22" s="32">
        <f t="shared" ref="F22:G22" si="3">$D$22*F6</f>
        <v>100</v>
      </c>
      <c r="G22" s="32">
        <f t="shared" si="3"/>
        <v>200</v>
      </c>
      <c r="H22" s="32">
        <f t="shared" si="1"/>
        <v>350</v>
      </c>
      <c r="I22" s="8">
        <v>80</v>
      </c>
      <c r="J22" s="33">
        <f>I22*(1-$P$23)</f>
        <v>70.400000000000006</v>
      </c>
      <c r="K22" s="34" t="str">
        <f t="shared" si="2"/>
        <v/>
      </c>
      <c r="L22" s="35">
        <v>0</v>
      </c>
      <c r="M22" s="36" t="e">
        <f>MATCH(1,W38:AD38,0)</f>
        <v>#N/A</v>
      </c>
      <c r="O22" s="54" t="s">
        <v>13</v>
      </c>
      <c r="P22" s="13">
        <v>4000</v>
      </c>
    </row>
    <row r="23" spans="2:22" ht="31.2" x14ac:dyDescent="0.3">
      <c r="B23" s="30">
        <v>4</v>
      </c>
      <c r="C23" s="31" t="s">
        <v>10</v>
      </c>
      <c r="D23" s="9">
        <v>1</v>
      </c>
      <c r="E23" s="32">
        <f>$D$23*E7</f>
        <v>750</v>
      </c>
      <c r="F23" s="32">
        <f t="shared" ref="F23:G23" si="4">$D$23*F7</f>
        <v>500</v>
      </c>
      <c r="G23" s="32">
        <f t="shared" si="4"/>
        <v>300</v>
      </c>
      <c r="H23" s="32">
        <f t="shared" si="1"/>
        <v>1550</v>
      </c>
      <c r="I23" s="8">
        <v>310</v>
      </c>
      <c r="J23" s="33">
        <f>I23*(1-$P$23)</f>
        <v>272.8</v>
      </c>
      <c r="K23" s="34">
        <f t="shared" si="2"/>
        <v>0.17600000000000002</v>
      </c>
      <c r="L23" s="35">
        <v>1</v>
      </c>
      <c r="M23" s="36">
        <f>MATCH(1,W39:AD39,0)</f>
        <v>1</v>
      </c>
      <c r="O23" s="54" t="s">
        <v>14</v>
      </c>
      <c r="P23" s="14">
        <v>0.12</v>
      </c>
    </row>
    <row r="24" spans="2:22" ht="15.6" x14ac:dyDescent="0.3">
      <c r="B24" s="30">
        <v>5</v>
      </c>
      <c r="C24" s="31" t="s">
        <v>10</v>
      </c>
      <c r="D24" s="9">
        <v>0.75</v>
      </c>
      <c r="E24" s="32">
        <f>$D$24*E8</f>
        <v>150</v>
      </c>
      <c r="F24" s="32">
        <f t="shared" ref="F24:G24" si="5">$D$24*F8</f>
        <v>300</v>
      </c>
      <c r="G24" s="32">
        <f t="shared" si="5"/>
        <v>600</v>
      </c>
      <c r="H24" s="32">
        <f t="shared" si="1"/>
        <v>1050</v>
      </c>
      <c r="I24" s="8">
        <v>220</v>
      </c>
      <c r="J24" s="33">
        <f>I24*(1-$P$23)</f>
        <v>193.6</v>
      </c>
      <c r="K24" s="34">
        <f t="shared" si="2"/>
        <v>0.13828571428571429</v>
      </c>
      <c r="L24" s="35">
        <v>1</v>
      </c>
      <c r="M24" s="36">
        <f>MATCH(1,W40:AD40,0)</f>
        <v>7</v>
      </c>
    </row>
    <row r="25" spans="2:22" ht="15.6" x14ac:dyDescent="0.3">
      <c r="C25" s="37" t="s">
        <v>33</v>
      </c>
      <c r="E25" s="38">
        <f>SUMPRODUCT(E20:E24,$L$20:$L$24)</f>
        <v>1065</v>
      </c>
      <c r="F25" s="38">
        <f t="shared" ref="F25:H25" si="6">SUMPRODUCT(F20:F24,$L$20:$L$24)</f>
        <v>899</v>
      </c>
      <c r="G25" s="38">
        <f t="shared" si="6"/>
        <v>999</v>
      </c>
      <c r="H25" s="38">
        <f t="shared" si="6"/>
        <v>2963</v>
      </c>
      <c r="T25" s="50"/>
    </row>
    <row r="26" spans="2:22" ht="15.6" x14ac:dyDescent="0.3">
      <c r="O26" s="63" t="s">
        <v>16</v>
      </c>
      <c r="P26" s="64"/>
      <c r="T26" s="43"/>
    </row>
    <row r="27" spans="2:22" ht="15.6" x14ac:dyDescent="0.3">
      <c r="B27" s="36">
        <v>6</v>
      </c>
      <c r="C27" s="16" t="s">
        <v>15</v>
      </c>
      <c r="D27" s="17">
        <v>0.5</v>
      </c>
      <c r="E27" s="32">
        <f>$D$27*E9</f>
        <v>500</v>
      </c>
      <c r="F27" s="32">
        <f t="shared" ref="F27:G27" si="7">$D$27*F9</f>
        <v>150</v>
      </c>
      <c r="G27" s="32">
        <f t="shared" si="7"/>
        <v>150</v>
      </c>
      <c r="H27" s="32">
        <f>SUM(E27:G27)</f>
        <v>800</v>
      </c>
      <c r="I27" s="16">
        <v>180</v>
      </c>
      <c r="J27" s="33">
        <f>I27*(1-$P$23)</f>
        <v>158.4</v>
      </c>
      <c r="K27" s="34">
        <f>IF(L27=0,"",J27/SUM(E9:G9))</f>
        <v>9.9000000000000005E-2</v>
      </c>
      <c r="L27" s="35">
        <v>1</v>
      </c>
      <c r="M27" s="36">
        <f>MATCH(1,W41:AD41,0)</f>
        <v>6</v>
      </c>
      <c r="O27" s="53" t="s">
        <v>17</v>
      </c>
      <c r="P27" s="22">
        <f>IF(E39&lt;4000,1,0)</f>
        <v>1</v>
      </c>
      <c r="T27" s="38"/>
    </row>
    <row r="28" spans="2:22" ht="15.6" x14ac:dyDescent="0.3">
      <c r="B28" s="36">
        <v>7</v>
      </c>
      <c r="C28" s="16" t="s">
        <v>15</v>
      </c>
      <c r="D28" s="17">
        <v>1</v>
      </c>
      <c r="E28" s="32">
        <f>$D$28*E10</f>
        <v>750</v>
      </c>
      <c r="F28" s="32">
        <f t="shared" ref="F28:G28" si="8">$D$28*F10</f>
        <v>750</v>
      </c>
      <c r="G28" s="32">
        <f t="shared" si="8"/>
        <v>300</v>
      </c>
      <c r="H28" s="32">
        <f t="shared" ref="H28:H30" si="9">SUM(E28:G28)</f>
        <v>1800</v>
      </c>
      <c r="I28" s="16">
        <v>410</v>
      </c>
      <c r="J28" s="33">
        <f>I28*(1-$P$23)</f>
        <v>360.8</v>
      </c>
      <c r="K28" s="34">
        <f>IF(L28=0,"",J28/SUM(E10:G10))</f>
        <v>0.20044444444444445</v>
      </c>
      <c r="L28" s="35">
        <v>1</v>
      </c>
      <c r="M28" s="36">
        <f>MATCH(1,W42:AD42,0)</f>
        <v>5</v>
      </c>
      <c r="O28" s="53" t="s">
        <v>18</v>
      </c>
      <c r="P28" s="22">
        <f>IF(F39&lt;4000,1,0)</f>
        <v>1</v>
      </c>
      <c r="T28" s="41"/>
    </row>
    <row r="29" spans="2:22" ht="15.6" x14ac:dyDescent="0.3">
      <c r="B29" s="36">
        <v>8</v>
      </c>
      <c r="C29" s="16" t="s">
        <v>15</v>
      </c>
      <c r="D29" s="17">
        <v>1</v>
      </c>
      <c r="E29" s="32">
        <f>$D$29*E11</f>
        <v>800</v>
      </c>
      <c r="F29" s="32">
        <f t="shared" ref="F29:G29" si="10">$D$29*F11</f>
        <v>700</v>
      </c>
      <c r="G29" s="32">
        <f t="shared" si="10"/>
        <v>600</v>
      </c>
      <c r="H29" s="32">
        <f t="shared" si="9"/>
        <v>2100</v>
      </c>
      <c r="I29" s="16">
        <v>280</v>
      </c>
      <c r="J29" s="33">
        <f>I29*(1-$P$23)</f>
        <v>246.4</v>
      </c>
      <c r="K29" s="34">
        <f>IF(L29=0,"",J29/SUM(E11:G11))</f>
        <v>0.11733333333333333</v>
      </c>
      <c r="L29" s="35">
        <v>1</v>
      </c>
      <c r="M29" s="36">
        <f>MATCH(1,W43:AD43,0)</f>
        <v>2</v>
      </c>
      <c r="O29" s="53" t="s">
        <v>20</v>
      </c>
      <c r="P29" s="22">
        <f>IF(G39&lt;4000,1,0)</f>
        <v>1</v>
      </c>
      <c r="T29" s="41"/>
    </row>
    <row r="30" spans="2:22" ht="15.6" x14ac:dyDescent="0.3">
      <c r="B30" s="36">
        <v>9</v>
      </c>
      <c r="C30" s="16" t="s">
        <v>15</v>
      </c>
      <c r="D30" s="17">
        <v>0.67</v>
      </c>
      <c r="E30" s="32">
        <f>$D$30*E12</f>
        <v>268</v>
      </c>
      <c r="F30" s="32">
        <f t="shared" ref="F30:G30" si="11">$D$30*F12</f>
        <v>402</v>
      </c>
      <c r="G30" s="32">
        <f t="shared" si="11"/>
        <v>536</v>
      </c>
      <c r="H30" s="32">
        <f t="shared" si="9"/>
        <v>1206</v>
      </c>
      <c r="I30" s="16">
        <v>380</v>
      </c>
      <c r="J30" s="33">
        <f>I30*(1-$P$23)</f>
        <v>334.4</v>
      </c>
      <c r="K30" s="34">
        <f>IF(L30=0,"",J30/SUM(E12:G12))</f>
        <v>0.18577777777777776</v>
      </c>
      <c r="L30" s="35">
        <v>1</v>
      </c>
      <c r="M30" s="36">
        <f>MATCH(1,W44:AD44,0)</f>
        <v>3</v>
      </c>
      <c r="O30" s="53" t="s">
        <v>21</v>
      </c>
      <c r="P30" s="22">
        <f>IF(H39&lt;10000,1,0)</f>
        <v>1</v>
      </c>
    </row>
    <row r="31" spans="2:22" ht="31.2" x14ac:dyDescent="0.3">
      <c r="C31" s="37" t="s">
        <v>38</v>
      </c>
      <c r="E31" s="41">
        <f>SUMPRODUCT(E27:E30,$L$27:$L$30)</f>
        <v>2318</v>
      </c>
      <c r="F31" s="41">
        <f t="shared" ref="F31:H31" si="12">SUMPRODUCT(F27:F30,$L$27:$L$30)</f>
        <v>2002</v>
      </c>
      <c r="G31" s="41">
        <f t="shared" si="12"/>
        <v>1586</v>
      </c>
      <c r="H31" s="41">
        <f t="shared" si="12"/>
        <v>5906</v>
      </c>
      <c r="O31" s="53" t="s">
        <v>22</v>
      </c>
      <c r="P31" s="22">
        <f>IF(AND(P32&gt;=1,P33&gt;=1,P34&gt;=1),1,0)</f>
        <v>1</v>
      </c>
      <c r="V31" t="s">
        <v>50</v>
      </c>
    </row>
    <row r="32" spans="2:22" ht="31.2" x14ac:dyDescent="0.3">
      <c r="O32" s="53" t="s">
        <v>23</v>
      </c>
      <c r="P32" s="22">
        <f>SUM(L20:L24)</f>
        <v>3</v>
      </c>
      <c r="Q32" t="s">
        <v>48</v>
      </c>
      <c r="R32">
        <v>1</v>
      </c>
    </row>
    <row r="33" spans="2:33" ht="31.2" x14ac:dyDescent="0.3">
      <c r="B33" s="36">
        <v>10</v>
      </c>
      <c r="C33" s="24" t="s">
        <v>19</v>
      </c>
      <c r="D33" s="25">
        <v>1</v>
      </c>
      <c r="E33" s="32">
        <f>$D$33*E13</f>
        <v>100</v>
      </c>
      <c r="F33" s="32">
        <f t="shared" ref="F33:G33" si="13">$D$33*F13</f>
        <v>200</v>
      </c>
      <c r="G33" s="32">
        <f t="shared" si="13"/>
        <v>400</v>
      </c>
      <c r="H33" s="32">
        <f>SUM(E33:G33)</f>
        <v>700</v>
      </c>
      <c r="I33" s="24">
        <v>100</v>
      </c>
      <c r="J33" s="33">
        <f>I33*(1-$P$23)</f>
        <v>88</v>
      </c>
      <c r="K33" s="34" t="str">
        <f>IF(L33=0,"",J33/SUM(E13:G13))</f>
        <v/>
      </c>
      <c r="L33" s="35">
        <v>0</v>
      </c>
      <c r="M33" s="36" t="e">
        <f>MATCH(1,W45:AD45,0)</f>
        <v>#N/A</v>
      </c>
      <c r="O33" s="53" t="s">
        <v>24</v>
      </c>
      <c r="P33" s="22">
        <f>SUM(L27:L30)</f>
        <v>4</v>
      </c>
      <c r="Q33" t="s">
        <v>48</v>
      </c>
      <c r="R33">
        <v>1</v>
      </c>
    </row>
    <row r="34" spans="2:33" ht="31.2" x14ac:dyDescent="0.3">
      <c r="B34" s="36">
        <v>11</v>
      </c>
      <c r="C34" s="24" t="s">
        <v>19</v>
      </c>
      <c r="D34" s="25">
        <v>0.5</v>
      </c>
      <c r="E34" s="32">
        <f>$D$34*E14</f>
        <v>350</v>
      </c>
      <c r="F34" s="32">
        <f t="shared" ref="F34:G34" si="14">$D$34*F14</f>
        <v>250</v>
      </c>
      <c r="G34" s="32">
        <f t="shared" si="14"/>
        <v>150</v>
      </c>
      <c r="H34" s="32">
        <f t="shared" ref="H34:H35" si="15">SUM(E34:G34)</f>
        <v>750</v>
      </c>
      <c r="I34" s="24">
        <v>260</v>
      </c>
      <c r="J34" s="33">
        <f>I34*(1-$P$23)</f>
        <v>228.8</v>
      </c>
      <c r="K34" s="34">
        <f>IF(L34=0,"",J34/SUM(E14:G14))</f>
        <v>0.15253333333333335</v>
      </c>
      <c r="L34" s="35">
        <v>1</v>
      </c>
      <c r="M34" s="36">
        <f>MATCH(1,W46:AD46,0)</f>
        <v>8</v>
      </c>
      <c r="O34" s="53" t="s">
        <v>26</v>
      </c>
      <c r="P34" s="22">
        <f>SUM(L33:L35)</f>
        <v>1</v>
      </c>
      <c r="Q34" t="s">
        <v>48</v>
      </c>
      <c r="R34">
        <v>1</v>
      </c>
      <c r="W34" s="57" t="s">
        <v>52</v>
      </c>
      <c r="X34" s="58"/>
      <c r="Y34" s="58"/>
      <c r="Z34" s="58"/>
      <c r="AA34" s="58"/>
      <c r="AB34" s="58"/>
      <c r="AC34" s="58"/>
      <c r="AD34" s="59"/>
    </row>
    <row r="35" spans="2:33" ht="31.2" x14ac:dyDescent="0.3">
      <c r="B35" s="36">
        <v>12</v>
      </c>
      <c r="C35" s="24" t="s">
        <v>19</v>
      </c>
      <c r="D35" s="25">
        <v>1</v>
      </c>
      <c r="E35" s="32">
        <f>$D$35*E15</f>
        <v>1500</v>
      </c>
      <c r="F35" s="32">
        <f t="shared" ref="F35:G35" si="16">$D$35*F15</f>
        <v>400</v>
      </c>
      <c r="G35" s="32">
        <f t="shared" si="16"/>
        <v>400</v>
      </c>
      <c r="H35" s="32">
        <f t="shared" si="15"/>
        <v>2300</v>
      </c>
      <c r="I35" s="24">
        <v>340</v>
      </c>
      <c r="J35" s="33">
        <f>I35*(1-$P$23)</f>
        <v>299.2</v>
      </c>
      <c r="K35" s="34" t="str">
        <f>IF(L35=0,"",J35/SUM(E15:G15))</f>
        <v/>
      </c>
      <c r="L35" s="35">
        <v>0</v>
      </c>
      <c r="M35" s="36" t="e">
        <f>MATCH(1,W47:AD47,0)</f>
        <v>#N/A</v>
      </c>
      <c r="O35" s="53" t="s">
        <v>31</v>
      </c>
      <c r="P35" s="22">
        <f>SUM(P32:P34)</f>
        <v>8</v>
      </c>
      <c r="Q35" t="s">
        <v>48</v>
      </c>
      <c r="R35">
        <v>1</v>
      </c>
      <c r="V35" s="36"/>
      <c r="W35" s="49">
        <v>1</v>
      </c>
      <c r="X35" s="36">
        <v>2</v>
      </c>
      <c r="Y35" s="36">
        <v>3</v>
      </c>
      <c r="Z35" s="36">
        <v>4</v>
      </c>
      <c r="AA35" s="36">
        <v>5</v>
      </c>
      <c r="AB35" s="36">
        <v>6</v>
      </c>
      <c r="AC35" s="36">
        <v>7</v>
      </c>
      <c r="AD35" s="36">
        <v>8</v>
      </c>
      <c r="AE35" t="s">
        <v>66</v>
      </c>
      <c r="AG35" t="s">
        <v>67</v>
      </c>
    </row>
    <row r="36" spans="2:33" ht="15.6" x14ac:dyDescent="0.3">
      <c r="C36" s="37" t="s">
        <v>39</v>
      </c>
      <c r="E36" s="41">
        <f>SUMPRODUCT(E33:E35,$L$33:$L$35)</f>
        <v>350</v>
      </c>
      <c r="F36" s="41">
        <f t="shared" ref="F36:H36" si="17">SUMPRODUCT(F33:F35,$L$33:$L$35)</f>
        <v>250</v>
      </c>
      <c r="G36" s="41">
        <f t="shared" si="17"/>
        <v>150</v>
      </c>
      <c r="H36" s="41">
        <f t="shared" si="17"/>
        <v>750</v>
      </c>
      <c r="V36" s="39" t="s">
        <v>53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>
        <f>SUM(W36:AD36)</f>
        <v>0</v>
      </c>
      <c r="AF36" t="s">
        <v>68</v>
      </c>
      <c r="AG36">
        <f>L20</f>
        <v>0</v>
      </c>
    </row>
    <row r="37" spans="2:33" ht="15.6" x14ac:dyDescent="0.3">
      <c r="O37" s="4" t="s">
        <v>32</v>
      </c>
      <c r="P37" s="22">
        <f>IF(SUM(P27:P31)=5,1,0)</f>
        <v>1</v>
      </c>
      <c r="V37" s="39" t="s">
        <v>54</v>
      </c>
      <c r="W37" s="35">
        <v>0</v>
      </c>
      <c r="X37" s="35">
        <v>0</v>
      </c>
      <c r="Y37" s="35">
        <v>0</v>
      </c>
      <c r="Z37" s="35">
        <v>1</v>
      </c>
      <c r="AA37" s="35">
        <v>0</v>
      </c>
      <c r="AB37" s="35">
        <v>0</v>
      </c>
      <c r="AC37" s="35">
        <v>0</v>
      </c>
      <c r="AD37" s="35">
        <v>0</v>
      </c>
      <c r="AE37">
        <f t="shared" ref="AE37:AE47" si="18">SUM(W37:AD37)</f>
        <v>1</v>
      </c>
      <c r="AF37" t="s">
        <v>68</v>
      </c>
      <c r="AG37">
        <f>L21</f>
        <v>1</v>
      </c>
    </row>
    <row r="38" spans="2:33" ht="15.6" x14ac:dyDescent="0.3">
      <c r="E38" s="4" t="s">
        <v>5</v>
      </c>
      <c r="F38" s="4" t="s">
        <v>6</v>
      </c>
      <c r="G38" s="4" t="s">
        <v>7</v>
      </c>
      <c r="H38" s="4" t="s">
        <v>27</v>
      </c>
      <c r="J38" s="42" t="s">
        <v>40</v>
      </c>
      <c r="V38" s="39" t="s">
        <v>55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>
        <f t="shared" si="18"/>
        <v>0</v>
      </c>
      <c r="AF38" t="s">
        <v>68</v>
      </c>
      <c r="AG38">
        <f>L22</f>
        <v>0</v>
      </c>
    </row>
    <row r="39" spans="2:33" x14ac:dyDescent="0.3">
      <c r="C39" s="43" t="s">
        <v>41</v>
      </c>
      <c r="E39" s="32">
        <f>SUMPRODUCT(E20:E24,$L$20:$L$24)+SUMPRODUCT(E27:E30,$L$27:$L$30)+SUMPRODUCT(E33:E35,$L$33:$L$35)</f>
        <v>3733</v>
      </c>
      <c r="F39" s="32">
        <f>SUMPRODUCT(F20:F24,$L$20:$L$24)+SUMPRODUCT(F27:F30,$L$27:$L$30)+SUMPRODUCT(F33:F35,$L$33:$L$35)</f>
        <v>3151</v>
      </c>
      <c r="G39" s="32">
        <f>SUMPRODUCT(G20:G24,$L$20:$L$24)+SUMPRODUCT(G27:G30,$L$27:$L$30)+SUMPRODUCT(G33:G35,$L$33:$L$35)</f>
        <v>2735</v>
      </c>
      <c r="H39" s="32">
        <f>SUM(E39:G39)</f>
        <v>9619</v>
      </c>
      <c r="J39" s="44">
        <f>SUMPRODUCT(J20:J35,L20:L35)</f>
        <v>1953.6000000000001</v>
      </c>
      <c r="V39" s="39" t="s">
        <v>56</v>
      </c>
      <c r="W39" s="35">
        <v>1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  <c r="AE39">
        <f t="shared" si="18"/>
        <v>1</v>
      </c>
      <c r="AF39" t="s">
        <v>68</v>
      </c>
      <c r="AG39">
        <f>L23</f>
        <v>1</v>
      </c>
    </row>
    <row r="40" spans="2:33" x14ac:dyDescent="0.3">
      <c r="E40" t="s">
        <v>49</v>
      </c>
      <c r="F40" t="s">
        <v>49</v>
      </c>
      <c r="G40" t="s">
        <v>49</v>
      </c>
      <c r="H40" t="s">
        <v>49</v>
      </c>
      <c r="V40" s="39" t="s">
        <v>57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1</v>
      </c>
      <c r="AD40" s="35">
        <v>0</v>
      </c>
      <c r="AE40">
        <f t="shared" si="18"/>
        <v>1</v>
      </c>
      <c r="AF40" t="s">
        <v>68</v>
      </c>
      <c r="AG40">
        <f>L24</f>
        <v>1</v>
      </c>
    </row>
    <row r="41" spans="2:33" x14ac:dyDescent="0.3">
      <c r="E41">
        <v>4000</v>
      </c>
      <c r="F41">
        <v>4000</v>
      </c>
      <c r="G41">
        <v>4000</v>
      </c>
      <c r="H41">
        <v>10000</v>
      </c>
      <c r="V41" s="39" t="s">
        <v>58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1</v>
      </c>
      <c r="AC41" s="35">
        <v>0</v>
      </c>
      <c r="AD41" s="35">
        <v>0</v>
      </c>
      <c r="AE41">
        <f t="shared" si="18"/>
        <v>1</v>
      </c>
      <c r="AF41" t="s">
        <v>68</v>
      </c>
      <c r="AG41">
        <f>L27</f>
        <v>1</v>
      </c>
    </row>
    <row r="42" spans="2:33" x14ac:dyDescent="0.3">
      <c r="V42" s="39" t="s">
        <v>60</v>
      </c>
      <c r="W42" s="35">
        <v>0</v>
      </c>
      <c r="X42" s="35">
        <v>0</v>
      </c>
      <c r="Y42" s="35">
        <v>0</v>
      </c>
      <c r="Z42" s="35">
        <v>0</v>
      </c>
      <c r="AA42" s="35">
        <v>1</v>
      </c>
      <c r="AB42" s="35">
        <v>0</v>
      </c>
      <c r="AC42" s="35">
        <v>0</v>
      </c>
      <c r="AD42" s="35">
        <v>0</v>
      </c>
      <c r="AE42">
        <f t="shared" si="18"/>
        <v>1</v>
      </c>
      <c r="AF42" t="s">
        <v>68</v>
      </c>
      <c r="AG42">
        <f>L28</f>
        <v>1</v>
      </c>
    </row>
    <row r="43" spans="2:33" x14ac:dyDescent="0.3">
      <c r="D43" s="43" t="s">
        <v>29</v>
      </c>
      <c r="E43" t="s">
        <v>42</v>
      </c>
      <c r="V43" s="39" t="s">
        <v>61</v>
      </c>
      <c r="W43" s="35">
        <v>0</v>
      </c>
      <c r="X43" s="35">
        <v>1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>
        <f t="shared" si="18"/>
        <v>1</v>
      </c>
      <c r="AF43" t="s">
        <v>68</v>
      </c>
      <c r="AG43">
        <f>L29</f>
        <v>1</v>
      </c>
    </row>
    <row r="44" spans="2:33" ht="15.6" x14ac:dyDescent="0.3">
      <c r="C44" s="45" t="s">
        <v>43</v>
      </c>
      <c r="D44" s="45" t="s">
        <v>44</v>
      </c>
      <c r="E44" s="45" t="s">
        <v>45</v>
      </c>
      <c r="F44" s="45" t="s">
        <v>46</v>
      </c>
      <c r="I44" s="57" t="s">
        <v>34</v>
      </c>
      <c r="J44" s="58"/>
      <c r="K44" s="59"/>
      <c r="V44" s="39" t="s">
        <v>62</v>
      </c>
      <c r="W44" s="35">
        <v>0</v>
      </c>
      <c r="X44" s="35">
        <v>0</v>
      </c>
      <c r="Y44" s="35">
        <v>1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>
        <f t="shared" si="18"/>
        <v>1</v>
      </c>
      <c r="AF44" t="s">
        <v>68</v>
      </c>
      <c r="AG44">
        <f>L30</f>
        <v>1</v>
      </c>
    </row>
    <row r="45" spans="2:33" x14ac:dyDescent="0.3">
      <c r="C45" s="36"/>
      <c r="D45" s="46">
        <f>AVERAGE(K20:K35)</f>
        <v>0.15167182539682542</v>
      </c>
      <c r="E45" s="46">
        <f>MIN(K20:K35)</f>
        <v>9.9000000000000005E-2</v>
      </c>
      <c r="F45" s="46">
        <f>MAX(K20:K35)</f>
        <v>0.20044444444444445</v>
      </c>
      <c r="H45" s="39" t="s">
        <v>3</v>
      </c>
      <c r="I45" s="39" t="s">
        <v>35</v>
      </c>
      <c r="J45" s="39" t="s">
        <v>36</v>
      </c>
      <c r="K45" s="39" t="s">
        <v>37</v>
      </c>
      <c r="V45" s="39" t="s">
        <v>63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>
        <f t="shared" si="18"/>
        <v>0</v>
      </c>
      <c r="AF45" t="s">
        <v>68</v>
      </c>
      <c r="AG45">
        <f>L33</f>
        <v>0</v>
      </c>
    </row>
    <row r="46" spans="2:33" x14ac:dyDescent="0.3">
      <c r="C46" s="47">
        <v>0</v>
      </c>
      <c r="D46" s="34">
        <f t="dataTable" ref="D46:F52" dt2D="0" dtr="0" r1="P23"/>
        <v>0.17235434704184704</v>
      </c>
      <c r="E46" s="34">
        <v>0.1125</v>
      </c>
      <c r="F46" s="34">
        <v>0.22777777777777777</v>
      </c>
      <c r="H46" s="36" t="s">
        <v>10</v>
      </c>
      <c r="I46" s="32">
        <f>E25</f>
        <v>1065</v>
      </c>
      <c r="J46" s="32">
        <f>F25</f>
        <v>899</v>
      </c>
      <c r="K46" s="32">
        <f>G25</f>
        <v>999</v>
      </c>
      <c r="V46" s="39" t="s">
        <v>64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1</v>
      </c>
      <c r="AE46">
        <f t="shared" si="18"/>
        <v>1</v>
      </c>
      <c r="AF46" t="s">
        <v>68</v>
      </c>
      <c r="AG46">
        <f>L34</f>
        <v>1</v>
      </c>
    </row>
    <row r="47" spans="2:33" x14ac:dyDescent="0.3">
      <c r="C47" s="47">
        <v>0.05</v>
      </c>
      <c r="D47" s="34">
        <v>0.16373662968975469</v>
      </c>
      <c r="E47" s="34">
        <v>0.106875</v>
      </c>
      <c r="F47" s="34">
        <v>0.21638888888888888</v>
      </c>
      <c r="H47" s="36" t="s">
        <v>15</v>
      </c>
      <c r="I47" s="40">
        <f>E31</f>
        <v>2318</v>
      </c>
      <c r="J47" s="40">
        <f>F31</f>
        <v>2002</v>
      </c>
      <c r="K47" s="40">
        <f>G31</f>
        <v>1586</v>
      </c>
      <c r="V47" s="39" t="s">
        <v>65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>
        <f t="shared" si="18"/>
        <v>0</v>
      </c>
      <c r="AF47" t="s">
        <v>68</v>
      </c>
      <c r="AG47">
        <f>L35</f>
        <v>0</v>
      </c>
    </row>
    <row r="48" spans="2:33" x14ac:dyDescent="0.3">
      <c r="C48" s="47">
        <v>0.1</v>
      </c>
      <c r="D48" s="34">
        <v>0.15511891233766231</v>
      </c>
      <c r="E48" s="34">
        <v>0.10125000000000001</v>
      </c>
      <c r="F48" s="34">
        <v>0.20499999999999999</v>
      </c>
      <c r="H48" s="36" t="s">
        <v>19</v>
      </c>
      <c r="I48" s="40">
        <f>E36</f>
        <v>350</v>
      </c>
      <c r="J48" s="40">
        <f>F36</f>
        <v>250</v>
      </c>
      <c r="K48" s="40">
        <f>G36</f>
        <v>150</v>
      </c>
      <c r="V48" s="51" t="s">
        <v>66</v>
      </c>
      <c r="W48">
        <f>SUM(W36:W47)</f>
        <v>1</v>
      </c>
      <c r="X48">
        <f t="shared" ref="X48:AD48" si="19">SUM(X36:X47)</f>
        <v>1</v>
      </c>
      <c r="Y48">
        <f t="shared" si="19"/>
        <v>1</v>
      </c>
      <c r="Z48">
        <f t="shared" si="19"/>
        <v>1</v>
      </c>
      <c r="AA48">
        <f t="shared" si="19"/>
        <v>1</v>
      </c>
      <c r="AB48">
        <f t="shared" si="19"/>
        <v>1</v>
      </c>
      <c r="AC48">
        <f t="shared" si="19"/>
        <v>1</v>
      </c>
      <c r="AD48">
        <f t="shared" si="19"/>
        <v>1</v>
      </c>
    </row>
    <row r="49" spans="3:30" x14ac:dyDescent="0.3">
      <c r="C49" s="47">
        <v>0.15</v>
      </c>
      <c r="D49" s="34">
        <v>0.14650119498556999</v>
      </c>
      <c r="E49" s="34">
        <v>9.5625000000000002E-2</v>
      </c>
      <c r="F49" s="34">
        <v>0.19361111111111112</v>
      </c>
      <c r="W49" t="s">
        <v>68</v>
      </c>
      <c r="X49" t="s">
        <v>68</v>
      </c>
      <c r="Y49" t="s">
        <v>68</v>
      </c>
      <c r="Z49" t="s">
        <v>68</v>
      </c>
      <c r="AA49" t="s">
        <v>68</v>
      </c>
      <c r="AB49" t="s">
        <v>68</v>
      </c>
      <c r="AC49" t="s">
        <v>68</v>
      </c>
      <c r="AD49" t="s">
        <v>68</v>
      </c>
    </row>
    <row r="50" spans="3:30" x14ac:dyDescent="0.3">
      <c r="C50" s="47">
        <v>0.2</v>
      </c>
      <c r="D50" s="34">
        <v>0.13788347763347764</v>
      </c>
      <c r="E50" s="34">
        <v>0.09</v>
      </c>
      <c r="F50" s="34">
        <v>0.18222222222222223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</row>
    <row r="51" spans="3:30" x14ac:dyDescent="0.3">
      <c r="C51" s="47">
        <v>0.25</v>
      </c>
      <c r="D51" s="34">
        <v>0.12926576028138526</v>
      </c>
      <c r="E51" s="34">
        <v>8.4375000000000006E-2</v>
      </c>
      <c r="F51" s="34">
        <v>0.17083333333333334</v>
      </c>
    </row>
    <row r="52" spans="3:30" x14ac:dyDescent="0.3">
      <c r="C52" s="47">
        <v>0.3</v>
      </c>
      <c r="D52" s="34">
        <v>0.12064804292929292</v>
      </c>
      <c r="E52" s="34">
        <v>7.8749999999999987E-2</v>
      </c>
      <c r="F52" s="34">
        <v>0.15944444444444444</v>
      </c>
    </row>
  </sheetData>
  <mergeCells count="6">
    <mergeCell ref="I44:K44"/>
    <mergeCell ref="W34:AD34"/>
    <mergeCell ref="A1:M1"/>
    <mergeCell ref="O19:P19"/>
    <mergeCell ref="O26:P26"/>
    <mergeCell ref="C18:F18"/>
  </mergeCells>
  <conditionalFormatting sqref="E39">
    <cfRule type="cellIs" dxfId="11" priority="14" operator="greaterThan">
      <formula>4000</formula>
    </cfRule>
    <cfRule type="cellIs" dxfId="10" priority="15" operator="greaterThan">
      <formula>" $4,483 "</formula>
    </cfRule>
    <cfRule type="cellIs" dxfId="9" priority="16" operator="greaterThan">
      <formula>4000</formula>
    </cfRule>
    <cfRule type="cellIs" dxfId="8" priority="17" operator="greaterThan">
      <formula>" $4,000"</formula>
    </cfRule>
  </conditionalFormatting>
  <conditionalFormatting sqref="E39:G39">
    <cfRule type="cellIs" dxfId="7" priority="7" operator="lessThan">
      <formula>4000</formula>
    </cfRule>
    <cfRule type="cellIs" dxfId="6" priority="9" operator="greaterThan">
      <formula>4000</formula>
    </cfRule>
  </conditionalFormatting>
  <conditionalFormatting sqref="H39">
    <cfRule type="cellIs" dxfId="5" priority="5" operator="lessThan">
      <formula>10000</formula>
    </cfRule>
    <cfRule type="cellIs" dxfId="4" priority="6" operator="greaterThan">
      <formula>10000</formula>
    </cfRule>
  </conditionalFormatting>
  <conditionalFormatting sqref="P27:P31">
    <cfRule type="cellIs" dxfId="3" priority="3" operator="equal">
      <formula>1</formula>
    </cfRule>
    <cfRule type="cellIs" dxfId="2" priority="4" operator="equal">
      <formula>0</formula>
    </cfRule>
  </conditionalFormatting>
  <conditionalFormatting sqref="P37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LAHKAR</dc:creator>
  <cp:lastModifiedBy>SUKANYA LAHKAR</cp:lastModifiedBy>
  <dcterms:created xsi:type="dcterms:W3CDTF">2026-05-29T00:16:34Z</dcterms:created>
  <dcterms:modified xsi:type="dcterms:W3CDTF">2026-05-29T21:54:01Z</dcterms:modified>
</cp:coreProperties>
</file>